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S설치현황\"/>
    </mc:Choice>
  </mc:AlternateContent>
  <xr:revisionPtr revIDLastSave="0" documentId="13_ncr:1_{018ADCD7-235A-4EB5-A7E3-2D17DCFB7AC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1" state="hidden" r:id="rId1"/>
    <sheet name="DS 설치현황" sheetId="2" r:id="rId2"/>
  </sheets>
  <definedNames>
    <definedName name="_xlnm._FilterDatabase" localSheetId="1" hidden="1">'DS 설치현황'!$C$11:$C$34</definedName>
    <definedName name="_xlnm._FilterDatabase" localSheetId="0" hidden="1">Sheet1!$C$11:$C$34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85" i="1" l="1"/>
  <c r="BD83" i="1"/>
  <c r="BD80" i="1"/>
  <c r="BD77" i="1"/>
  <c r="A1" i="1" l="1"/>
  <c r="F64" i="1" l="1"/>
  <c r="F61" i="1"/>
  <c r="AX77" i="1" l="1"/>
  <c r="BG74" i="1"/>
  <c r="BJ74" i="1" s="1"/>
  <c r="BG71" i="1"/>
  <c r="BJ71" i="1" s="1"/>
  <c r="BG68" i="1"/>
  <c r="BJ68" i="1" s="1"/>
  <c r="BG65" i="1"/>
  <c r="BJ65" i="1" s="1"/>
  <c r="AX85" i="1"/>
  <c r="AX83" i="1"/>
  <c r="AX80" i="1"/>
  <c r="BG53" i="1"/>
  <c r="BG62" i="1"/>
  <c r="BJ62" i="1" s="1"/>
  <c r="BG59" i="1"/>
  <c r="BJ59" i="1" s="1"/>
  <c r="BG56" i="1"/>
  <c r="BJ56" i="1" s="1"/>
  <c r="BG85" i="1" l="1"/>
  <c r="BG80" i="1"/>
  <c r="BG83" i="1"/>
  <c r="BJ53" i="1"/>
  <c r="BG77" i="1"/>
  <c r="BA89" i="1" l="1"/>
  <c r="BD89" i="1" s="1"/>
  <c r="BJ77" i="1"/>
  <c r="BA87" i="1"/>
  <c r="BJ83" i="1"/>
  <c r="BJ80" i="1"/>
  <c r="BJ85" i="1"/>
  <c r="BI87" i="1" l="1" a="1"/>
  <c r="BI87" i="1" s="1"/>
  <c r="BD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<sst xmlns="http://schemas.openxmlformats.org/spreadsheetml/2006/main" count="1217" uniqueCount="317">
  <si>
    <t>설치완료</t>
    <phoneticPr fontId="10" type="noConversion"/>
  </si>
  <si>
    <t>열수</t>
    <phoneticPr fontId="10" type="noConversion"/>
  </si>
  <si>
    <t>37~38열</t>
  </si>
  <si>
    <t>40~41열</t>
  </si>
  <si>
    <t>41~42열</t>
  </si>
  <si>
    <t>39~40열</t>
  </si>
  <si>
    <t>상부접점</t>
    <phoneticPr fontId="10" type="noConversion"/>
  </si>
  <si>
    <t>10F 횡주</t>
  </si>
  <si>
    <t>10F</t>
  </si>
  <si>
    <t>9F 횡주</t>
  </si>
  <si>
    <t>9F</t>
  </si>
  <si>
    <t>8F 횡주</t>
  </si>
  <si>
    <t>8F</t>
  </si>
  <si>
    <t>7F 횡주</t>
  </si>
  <si>
    <t>7F</t>
  </si>
  <si>
    <t>6F 횡주</t>
  </si>
  <si>
    <t>6F</t>
  </si>
  <si>
    <t>5F 횡주</t>
  </si>
  <si>
    <t>5F</t>
  </si>
  <si>
    <t>4F</t>
  </si>
  <si>
    <t>하부접점</t>
    <phoneticPr fontId="10" type="noConversion"/>
  </si>
  <si>
    <t>덕트NO</t>
    <phoneticPr fontId="10" type="noConversion"/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</si>
  <si>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</si>
  <si>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</si>
  <si>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</si>
  <si>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</si>
  <si>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</si>
  <si>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</si>
  <si>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</si>
  <si>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</si>
  <si>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</si>
  <si>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</si>
  <si>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</si>
  <si>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</si>
  <si>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</si>
  <si>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</si>
  <si>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</si>
  <si>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</si>
  <si>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</si>
  <si>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</si>
  <si>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</si>
  <si>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</si>
  <si>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</si>
  <si>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</si>
  <si>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</si>
  <si>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</si>
  <si>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</si>
  <si>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</si>
  <si>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</si>
  <si>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</si>
  <si>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</si>
  <si>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성상</t>
  </si>
  <si>
    <t>ORG</t>
  </si>
  <si>
    <t>열배기</t>
  </si>
  <si>
    <t>PFC</t>
  </si>
  <si>
    <t>입고일</t>
    <phoneticPr fontId="10" type="noConversion"/>
  </si>
  <si>
    <t>발주차수</t>
    <phoneticPr fontId="10" type="noConversion"/>
  </si>
  <si>
    <t>SIZE</t>
  </si>
  <si>
    <t>시공검측</t>
    <phoneticPr fontId="10" type="noConversion"/>
  </si>
  <si>
    <t>완성</t>
  </si>
  <si>
    <t>T/O</t>
    <phoneticPr fontId="10" type="noConversion"/>
  </si>
  <si>
    <t>46~47열</t>
  </si>
  <si>
    <t>47~48열</t>
  </si>
  <si>
    <t>FA</t>
  </si>
  <si>
    <t>FA</t>
    <phoneticPr fontId="3" type="noConversion"/>
  </si>
  <si>
    <t>E21</t>
  </si>
  <si>
    <t>E22</t>
  </si>
  <si>
    <t>E23</t>
  </si>
  <si>
    <t>E24</t>
  </si>
  <si>
    <t>E25</t>
  </si>
  <si>
    <t>E26</t>
  </si>
  <si>
    <t>E28</t>
  </si>
  <si>
    <t>E29</t>
  </si>
  <si>
    <t>E30</t>
  </si>
  <si>
    <t>E31</t>
  </si>
  <si>
    <t>E32</t>
  </si>
  <si>
    <t>E33</t>
  </si>
  <si>
    <t>E34</t>
  </si>
  <si>
    <t>C10</t>
  </si>
  <si>
    <t>C11</t>
  </si>
  <si>
    <t>C12</t>
  </si>
  <si>
    <t>C13</t>
  </si>
  <si>
    <t>C14</t>
  </si>
  <si>
    <t>C15</t>
  </si>
  <si>
    <t>배연배기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</si>
  <si>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</si>
  <si>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</si>
  <si>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</si>
  <si>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</si>
  <si>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</si>
  <si>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</si>
  <si>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</si>
  <si>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</si>
  <si>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</si>
  <si>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C21</t>
  </si>
  <si>
    <t>C22</t>
  </si>
  <si>
    <t>C23</t>
  </si>
  <si>
    <t>C24</t>
  </si>
  <si>
    <t>C25</t>
  </si>
  <si>
    <t>52~53열</t>
  </si>
  <si>
    <t>EA</t>
  </si>
  <si>
    <t>10층 바닥</t>
  </si>
  <si>
    <t>9F 바닥</t>
  </si>
  <si>
    <t>8층 바닥</t>
  </si>
  <si>
    <t>7층 바닥</t>
  </si>
  <si>
    <t>6충바닥</t>
  </si>
  <si>
    <t>5F 바닥</t>
  </si>
  <si>
    <t>금일타공</t>
    <phoneticPr fontId="10" type="noConversion"/>
  </si>
  <si>
    <t>금일설치</t>
    <phoneticPr fontId="10" type="noConversion"/>
  </si>
  <si>
    <t>57~58열</t>
    <phoneticPr fontId="3" type="noConversion"/>
  </si>
  <si>
    <t>타공 현황</t>
    <phoneticPr fontId="3" type="noConversion"/>
  </si>
  <si>
    <t>-</t>
  </si>
  <si>
    <t>-</t>
    <phoneticPr fontId="3" type="noConversion"/>
  </si>
  <si>
    <t>4F 바닥</t>
    <phoneticPr fontId="3" type="noConversion"/>
  </si>
  <si>
    <t>4F 횡주</t>
    <phoneticPr fontId="3" type="noConversion"/>
  </si>
  <si>
    <t>3F 횡주</t>
    <phoneticPr fontId="3" type="noConversion"/>
  </si>
  <si>
    <t>3F</t>
    <phoneticPr fontId="3" type="noConversion"/>
  </si>
  <si>
    <t>3F 바닥</t>
    <phoneticPr fontId="3" type="noConversion"/>
  </si>
  <si>
    <t>2F 횡주</t>
    <phoneticPr fontId="3" type="noConversion"/>
  </si>
  <si>
    <t>2F</t>
    <phoneticPr fontId="3" type="noConversion"/>
  </si>
  <si>
    <t>2F 바닥</t>
    <phoneticPr fontId="3" type="noConversion"/>
  </si>
  <si>
    <t>1F 횡주</t>
    <phoneticPr fontId="3" type="noConversion"/>
  </si>
  <si>
    <t>1F</t>
    <phoneticPr fontId="3" type="noConversion"/>
  </si>
  <si>
    <t>▣DUCT(GALV, COATING , FRP)</t>
    <phoneticPr fontId="3" type="noConversion"/>
  </si>
  <si>
    <t>37~38열</t>
    <phoneticPr fontId="3" type="noConversion"/>
  </si>
  <si>
    <t>40~41열</t>
    <phoneticPr fontId="3" type="noConversion"/>
  </si>
  <si>
    <t>43~44열</t>
    <phoneticPr fontId="3" type="noConversion"/>
  </si>
  <si>
    <t>44~45열</t>
    <phoneticPr fontId="3" type="noConversion"/>
  </si>
  <si>
    <t>46~47열</t>
    <phoneticPr fontId="3" type="noConversion"/>
  </si>
  <si>
    <t>50~51열</t>
    <phoneticPr fontId="3" type="noConversion"/>
  </si>
  <si>
    <t>51~52열</t>
    <phoneticPr fontId="3" type="noConversion"/>
  </si>
  <si>
    <t>54~55열</t>
    <phoneticPr fontId="3" type="noConversion"/>
  </si>
  <si>
    <t>55~56열</t>
    <phoneticPr fontId="3" type="noConversion"/>
  </si>
  <si>
    <t>58~59열</t>
    <phoneticPr fontId="3" type="noConversion"/>
  </si>
  <si>
    <t>52~53열</t>
    <phoneticPr fontId="3" type="noConversion"/>
  </si>
  <si>
    <t>F1</t>
  </si>
  <si>
    <t>F2</t>
  </si>
  <si>
    <t>F3</t>
  </si>
  <si>
    <t>F4</t>
  </si>
  <si>
    <t>F5</t>
  </si>
  <si>
    <t>F6</t>
  </si>
  <si>
    <t>F7</t>
  </si>
  <si>
    <t>S1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</si>
  <si>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</si>
  <si>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</si>
  <si>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</si>
  <si>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</si>
  <si>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</si>
  <si>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</si>
  <si>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</si>
  <si>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</si>
  <si>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</si>
  <si>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</si>
  <si>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</si>
  <si>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</si>
  <si>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SA</t>
    <phoneticPr fontId="3" type="noConversion"/>
  </si>
  <si>
    <t>3F FAB DCC(A.D)</t>
  </si>
  <si>
    <t>3F FAB DCC</t>
  </si>
  <si>
    <t>1F FSF</t>
  </si>
  <si>
    <t>3F LOW FAB</t>
  </si>
  <si>
    <t>1F SWAP KIT&amp;PCS세정실</t>
  </si>
  <si>
    <t>TO</t>
    <phoneticPr fontId="10" type="noConversion"/>
  </si>
  <si>
    <t>3F FAB 
DCC</t>
    <phoneticPr fontId="3" type="noConversion"/>
  </si>
  <si>
    <t>2F CSF, 
3F FAB DCC</t>
    <phoneticPr fontId="3" type="noConversion"/>
  </si>
  <si>
    <t>3F FAB
 DCC</t>
    <phoneticPr fontId="3" type="noConversion"/>
  </si>
  <si>
    <t>1F FSF
(PCS세정실)</t>
    <phoneticPr fontId="3" type="noConversion"/>
  </si>
  <si>
    <t>3F FAB
DCC(A.D)</t>
    <phoneticPr fontId="3" type="noConversion"/>
  </si>
  <si>
    <t>기설치덕트</t>
    <phoneticPr fontId="3" type="noConversion"/>
  </si>
  <si>
    <t>1800
1000</t>
    <phoneticPr fontId="3" type="noConversion"/>
  </si>
  <si>
    <t>2000
1200</t>
    <phoneticPr fontId="3" type="noConversion"/>
  </si>
  <si>
    <t>2800
1200</t>
    <phoneticPr fontId="3" type="noConversion"/>
  </si>
  <si>
    <t>600
500</t>
    <phoneticPr fontId="3" type="noConversion"/>
  </si>
  <si>
    <t>3200
1200</t>
    <phoneticPr fontId="3" type="noConversion"/>
  </si>
  <si>
    <t>1600
1000</t>
    <phoneticPr fontId="3" type="noConversion"/>
  </si>
  <si>
    <t>1100
1100</t>
    <phoneticPr fontId="3" type="noConversion"/>
  </si>
  <si>
    <t>2500
1200</t>
    <phoneticPr fontId="3" type="noConversion"/>
  </si>
  <si>
    <t>1800
1100</t>
    <phoneticPr fontId="3" type="noConversion"/>
  </si>
  <si>
    <t>1400
1200</t>
    <phoneticPr fontId="3" type="noConversion"/>
  </si>
  <si>
    <t>1300
1000</t>
    <phoneticPr fontId="3" type="noConversion"/>
  </si>
  <si>
    <t>500
500</t>
    <phoneticPr fontId="3" type="noConversion"/>
  </si>
  <si>
    <t>44~45열</t>
  </si>
  <si>
    <t>45~46열</t>
  </si>
  <si>
    <t>E27</t>
  </si>
  <si>
    <t>ACID</t>
  </si>
  <si>
    <t>캐비넷배기</t>
  </si>
  <si>
    <t>ALKALI</t>
  </si>
  <si>
    <t>PM무기</t>
  </si>
  <si>
    <t>OA</t>
  </si>
  <si>
    <t>PM유기</t>
  </si>
  <si>
    <t>CCSS무기</t>
  </si>
  <si>
    <t>CCSS유기</t>
  </si>
  <si>
    <t>GDM가연</t>
  </si>
  <si>
    <t>GDM산화</t>
  </si>
  <si>
    <t>긴급배기</t>
  </si>
  <si>
    <t xml:space="preserve">PFC </t>
  </si>
  <si>
    <t>900A</t>
  </si>
  <si>
    <t>1200A</t>
  </si>
  <si>
    <t>500A</t>
  </si>
  <si>
    <t>800A</t>
  </si>
  <si>
    <t>300A</t>
  </si>
  <si>
    <t>800
800</t>
    <phoneticPr fontId="3" type="noConversion"/>
  </si>
  <si>
    <t>1500
1000</t>
    <phoneticPr fontId="3" type="noConversion"/>
  </si>
  <si>
    <t>1400
1000</t>
    <phoneticPr fontId="3" type="noConversion"/>
  </si>
  <si>
    <t>1000
1000</t>
    <phoneticPr fontId="3" type="noConversion"/>
  </si>
  <si>
    <t>500
800</t>
    <phoneticPr fontId="3" type="noConversion"/>
  </si>
  <si>
    <t>800
1000</t>
    <phoneticPr fontId="3" type="noConversion"/>
  </si>
  <si>
    <t>1200A</t>
    <phoneticPr fontId="3" type="noConversion"/>
  </si>
  <si>
    <t>1700
1000</t>
    <phoneticPr fontId="3" type="noConversion"/>
  </si>
  <si>
    <t>300
200</t>
    <phoneticPr fontId="3" type="noConversion"/>
  </si>
  <si>
    <t>800A</t>
    <phoneticPr fontId="3" type="noConversion"/>
  </si>
  <si>
    <t>900
900</t>
    <phoneticPr fontId="3" type="noConversion"/>
  </si>
  <si>
    <t>500A</t>
    <phoneticPr fontId="3" type="noConversion"/>
  </si>
  <si>
    <t>500
400</t>
    <phoneticPr fontId="3" type="noConversion"/>
  </si>
  <si>
    <t>400
500</t>
    <phoneticPr fontId="3" type="noConversion"/>
  </si>
  <si>
    <t>1000
800</t>
    <phoneticPr fontId="3" type="noConversion"/>
  </si>
  <si>
    <t>900
1000</t>
    <phoneticPr fontId="3" type="noConversion"/>
  </si>
  <si>
    <t>400
400</t>
    <phoneticPr fontId="3" type="noConversion"/>
  </si>
  <si>
    <t>900
800</t>
    <phoneticPr fontId="3" type="noConversion"/>
  </si>
  <si>
    <t>1200
1200</t>
    <phoneticPr fontId="3" type="noConversion"/>
  </si>
  <si>
    <t>700
500</t>
    <phoneticPr fontId="3" type="noConversion"/>
  </si>
  <si>
    <t>700
1100</t>
    <phoneticPr fontId="3" type="noConversion"/>
  </si>
  <si>
    <t>500
700</t>
    <phoneticPr fontId="3" type="noConversion"/>
  </si>
  <si>
    <t>600
600</t>
    <phoneticPr fontId="3" type="noConversion"/>
  </si>
  <si>
    <t>50~51열</t>
  </si>
  <si>
    <t>54~55열</t>
  </si>
  <si>
    <t>55~58열</t>
    <phoneticPr fontId="3" type="noConversion"/>
  </si>
  <si>
    <t>C16</t>
  </si>
  <si>
    <t>C17</t>
  </si>
  <si>
    <t>C18</t>
  </si>
  <si>
    <t>E35</t>
    <phoneticPr fontId="3" type="noConversion"/>
  </si>
  <si>
    <t>C19</t>
  </si>
  <si>
    <t>C20</t>
  </si>
  <si>
    <t>E36</t>
  </si>
  <si>
    <t>E37</t>
  </si>
  <si>
    <t>E38</t>
  </si>
  <si>
    <t>캐비닛배기</t>
  </si>
  <si>
    <t>PM무기</t>
    <phoneticPr fontId="3" type="noConversion"/>
  </si>
  <si>
    <t>PM유기</t>
    <phoneticPr fontId="3" type="noConversion"/>
  </si>
  <si>
    <t>GDM산화</t>
    <phoneticPr fontId="3" type="noConversion"/>
  </si>
  <si>
    <t>1000A</t>
  </si>
  <si>
    <t>600A</t>
  </si>
  <si>
    <t>500
600</t>
    <phoneticPr fontId="3" type="noConversion"/>
  </si>
  <si>
    <t>900
1100</t>
    <phoneticPr fontId="3" type="noConversion"/>
  </si>
  <si>
    <t>1200
1000</t>
    <phoneticPr fontId="3" type="noConversion"/>
  </si>
  <si>
    <t>1500
1200</t>
    <phoneticPr fontId="3" type="noConversion"/>
  </si>
  <si>
    <t>1000
600</t>
    <phoneticPr fontId="3" type="noConversion"/>
  </si>
  <si>
    <t>1600
1200</t>
    <phoneticPr fontId="3" type="noConversion"/>
  </si>
  <si>
    <t>800
700</t>
    <phoneticPr fontId="3" type="noConversion"/>
  </si>
  <si>
    <t>200
300</t>
    <phoneticPr fontId="3" type="noConversion"/>
  </si>
  <si>
    <t>기설치타공</t>
    <phoneticPr fontId="3" type="noConversion"/>
  </si>
  <si>
    <t xml:space="preserve"> </t>
    <phoneticPr fontId="3" type="noConversion"/>
  </si>
  <si>
    <t>비계
간섭구간</t>
    <phoneticPr fontId="10" type="noConversion"/>
  </si>
  <si>
    <t>미설치</t>
    <phoneticPr fontId="10" type="noConversion"/>
  </si>
  <si>
    <t>기타
간섭구간</t>
    <phoneticPr fontId="10" type="noConversion"/>
  </si>
  <si>
    <t>동DS</t>
    <phoneticPr fontId="3" type="noConversion"/>
  </si>
  <si>
    <t>집 계 장</t>
    <phoneticPr fontId="3" type="noConversion"/>
  </si>
  <si>
    <t>1공구</t>
    <phoneticPr fontId="3" type="noConversion"/>
  </si>
  <si>
    <t>2공구</t>
    <phoneticPr fontId="3" type="noConversion"/>
  </si>
  <si>
    <t>3공구</t>
    <phoneticPr fontId="3" type="noConversion"/>
  </si>
  <si>
    <t>GAL'V</t>
    <phoneticPr fontId="3" type="noConversion"/>
  </si>
  <si>
    <t>COATING</t>
    <phoneticPr fontId="3" type="noConversion"/>
  </si>
  <si>
    <t>FRP</t>
    <phoneticPr fontId="3" type="noConversion"/>
  </si>
  <si>
    <t>공정률</t>
    <phoneticPr fontId="3" type="noConversion"/>
  </si>
  <si>
    <t>비고</t>
    <phoneticPr fontId="3" type="noConversion"/>
  </si>
  <si>
    <t>총물량</t>
  </si>
  <si>
    <t>총물량</t>
    <phoneticPr fontId="3" type="noConversion"/>
  </si>
  <si>
    <t>전일누계</t>
  </si>
  <si>
    <t>전일누계</t>
    <phoneticPr fontId="3" type="noConversion"/>
  </si>
  <si>
    <t>금일실적</t>
  </si>
  <si>
    <t>금일실적</t>
    <phoneticPr fontId="3" type="noConversion"/>
  </si>
  <si>
    <t>누계실적</t>
  </si>
  <si>
    <t>누계실적</t>
    <phoneticPr fontId="3" type="noConversion"/>
  </si>
  <si>
    <t>타공</t>
    <phoneticPr fontId="3" type="noConversion"/>
  </si>
  <si>
    <t>C-1차</t>
    <phoneticPr fontId="3" type="noConversion"/>
  </si>
  <si>
    <t>G-9차</t>
    <phoneticPr fontId="3" type="noConversion"/>
  </si>
  <si>
    <t>G-11차</t>
    <phoneticPr fontId="3" type="noConversion"/>
  </si>
  <si>
    <t>G-12차</t>
    <phoneticPr fontId="3" type="noConversion"/>
  </si>
  <si>
    <t>C-3차</t>
    <phoneticPr fontId="3" type="noConversion"/>
  </si>
  <si>
    <t>G-20차</t>
    <phoneticPr fontId="3" type="noConversion"/>
  </si>
  <si>
    <t>용인재고</t>
    <phoneticPr fontId="3" type="noConversion"/>
  </si>
  <si>
    <t>G-33차</t>
    <phoneticPr fontId="3" type="noConversion"/>
  </si>
  <si>
    <t>C-2차</t>
    <phoneticPr fontId="3" type="noConversion"/>
  </si>
  <si>
    <t>G-42차</t>
    <phoneticPr fontId="3" type="noConversion"/>
  </si>
  <si>
    <t>G-40차</t>
    <phoneticPr fontId="3" type="noConversion"/>
  </si>
  <si>
    <t>G-43차</t>
    <phoneticPr fontId="3" type="noConversion"/>
  </si>
  <si>
    <t>G-41차</t>
    <phoneticPr fontId="3" type="noConversion"/>
  </si>
  <si>
    <t>타공완료</t>
    <phoneticPr fontId="10" type="noConversion"/>
  </si>
  <si>
    <t>DUCT</t>
    <phoneticPr fontId="3" type="noConversion"/>
  </si>
  <si>
    <t>합 계
(북DS+동DS)</t>
    <phoneticPr fontId="3" type="noConversion"/>
  </si>
  <si>
    <t>소 계
(북DS)</t>
    <phoneticPr fontId="3" type="noConversion"/>
  </si>
  <si>
    <t>공정률
(타공+DUCT)</t>
    <phoneticPr fontId="3" type="noConversion"/>
  </si>
  <si>
    <t xml:space="preserve"> ▶ 북DS : 타공 총물량 - 518EA   /   DUCT 총물량 - 18,572㎡
 ▶ 동DS : 타공 총물량 -   19EA   /   DUCT 총물량 -    858㎡</t>
    <phoneticPr fontId="3" type="noConversion"/>
  </si>
  <si>
    <t>배연배기</t>
    <phoneticPr fontId="3" type="noConversion"/>
  </si>
  <si>
    <t>긴급배기</t>
    <phoneticPr fontId="3" type="noConversion"/>
  </si>
  <si>
    <t>RECOVERY</t>
    <phoneticPr fontId="3" type="noConversion"/>
  </si>
  <si>
    <t>열배기</t>
    <phoneticPr fontId="3" type="noConversion"/>
  </si>
  <si>
    <t>EA</t>
    <phoneticPr fontId="3" type="noConversion"/>
  </si>
  <si>
    <t>1200
1100</t>
    <phoneticPr fontId="3" type="noConversion"/>
  </si>
  <si>
    <t>E48</t>
    <phoneticPr fontId="3" type="noConversion"/>
  </si>
  <si>
    <t>E49</t>
    <phoneticPr fontId="3" type="noConversion"/>
  </si>
  <si>
    <t>E50</t>
    <phoneticPr fontId="3" type="noConversion"/>
  </si>
  <si>
    <t>E51</t>
    <phoneticPr fontId="3" type="noConversion"/>
  </si>
  <si>
    <t>E52</t>
    <phoneticPr fontId="3" type="noConversion"/>
  </si>
  <si>
    <t>F20</t>
    <phoneticPr fontId="3" type="noConversion"/>
  </si>
  <si>
    <t>F21</t>
    <phoneticPr fontId="3" type="noConversion"/>
  </si>
  <si>
    <t>F22</t>
    <phoneticPr fontId="3" type="noConversion"/>
  </si>
  <si>
    <t>900
500</t>
    <phoneticPr fontId="3" type="noConversion"/>
  </si>
  <si>
    <t>2F, 3F FIZ</t>
  </si>
  <si>
    <t>1F FIZ</t>
  </si>
  <si>
    <t>3F FIZ</t>
  </si>
  <si>
    <t>L~M열</t>
    <phoneticPr fontId="3" type="noConversion"/>
  </si>
  <si>
    <t>I-1~K열</t>
    <phoneticPr fontId="3" type="noConversion"/>
  </si>
  <si>
    <t>B~C열</t>
    <phoneticPr fontId="3" type="noConversion"/>
  </si>
  <si>
    <t>PIT 폐액룸</t>
  </si>
  <si>
    <t>동DS(배기)</t>
    <phoneticPr fontId="3" type="noConversion"/>
  </si>
  <si>
    <t>북DS(FA,SA)</t>
    <phoneticPr fontId="3" type="noConversion"/>
  </si>
  <si>
    <t>동DS배기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</si>
</sst>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&quot;/&quot;d;@"/>
    <numFmt numFmtId="177" formatCode="0.0%"/>
    <numFmt numFmtId="178" formatCode="0_);[Red]\(0\)"/>
    <numFmt numFmtId="179" formatCode="#,##0_);[Red]\(#,##0\)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6"/>
      <color rgb="FF0000FF"/>
      <name val="맑은 고딕"/>
      <family val="3"/>
      <charset val="129"/>
    </font>
    <font>
      <b/>
      <sz val="12"/>
      <color rgb="FF0066FF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2"/>
      <color rgb="FFFF0000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5"/>
        <bgColor indexed="64"/>
      </patternFill>
    </fill>
  </fills>
  <borders count="2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/>
      <right style="medium">
        <color indexed="64"/>
      </right>
      <top style="medium">
        <color theme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theme="1"/>
      </top>
      <bottom style="medium">
        <color auto="1"/>
      </bottom>
      <diagonal/>
    </border>
    <border>
      <left/>
      <right style="medium">
        <color indexed="64"/>
      </right>
      <top style="medium">
        <color theme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 style="thin">
        <color theme="1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hair">
        <color indexed="64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9847407452621"/>
      </top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theme="2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theme="2"/>
      </diagonal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 style="dotted">
        <color indexed="64"/>
      </diagonal>
    </border>
    <border diagonalUp="1" diagonalDown="1">
      <left/>
      <right/>
      <top style="medium">
        <color indexed="64"/>
      </top>
      <bottom/>
      <diagonal style="dotted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/>
      <diagonal style="dotted">
        <color indexed="64"/>
      </diagonal>
    </border>
    <border diagonalUp="1" diagonalDown="1">
      <left style="medium">
        <color indexed="64"/>
      </left>
      <right/>
      <top/>
      <bottom/>
      <diagonal style="dotted">
        <color indexed="64"/>
      </diagonal>
    </border>
    <border diagonalUp="1" diagonalDown="1">
      <left/>
      <right/>
      <top/>
      <bottom/>
      <diagonal style="dotted">
        <color indexed="64"/>
      </diagonal>
    </border>
    <border diagonalUp="1" diagonalDown="1">
      <left/>
      <right style="medium">
        <color indexed="64"/>
      </right>
      <top/>
      <bottom/>
      <diagonal style="dotted">
        <color indexed="64"/>
      </diagonal>
    </border>
    <border diagonalUp="1" diagonalDown="1">
      <left style="medium">
        <color indexed="64"/>
      </left>
      <right/>
      <top/>
      <bottom style="medium">
        <color indexed="64"/>
      </bottom>
      <diagonal style="dotted">
        <color indexed="64"/>
      </diagonal>
    </border>
    <border diagonalUp="1" diagonalDown="1">
      <left/>
      <right/>
      <top/>
      <bottom style="medium">
        <color indexed="64"/>
      </bottom>
      <diagonal style="dotted">
        <color indexed="64"/>
      </diagonal>
    </border>
    <border diagonalUp="1" diagonalDown="1">
      <left/>
      <right style="medium">
        <color indexed="64"/>
      </right>
      <top/>
      <bottom style="medium">
        <color indexed="64"/>
      </bottom>
      <diagonal style="dotted">
        <color indexed="64"/>
      </diagonal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medium">
        <color indexed="64"/>
      </top>
      <bottom style="thin">
        <color auto="1"/>
      </bottom>
      <diagonal/>
    </border>
    <border>
      <left style="hair">
        <color theme="1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rgb="FFFF0000"/>
      </right>
      <top/>
      <bottom style="hair">
        <color indexed="64"/>
      </bottom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rgb="FFFF0000"/>
      </right>
      <top style="medium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rgb="FFFF0000"/>
      </right>
      <top style="hair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theme="2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theme="2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theme="2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theme="2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n">
        <color theme="2"/>
      </diagonal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theme="2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theme="2"/>
      </diagonal>
    </border>
    <border diagonalUp="1" diagonalDown="1">
      <left style="thin">
        <color indexed="64"/>
      </left>
      <right/>
      <top style="thin">
        <color indexed="64"/>
      </top>
      <bottom/>
      <diagonal style="thin">
        <color theme="2"/>
      </diagonal>
    </border>
    <border diagonalUp="1" diagonalDown="1">
      <left/>
      <right/>
      <top style="thin">
        <color indexed="64"/>
      </top>
      <bottom/>
      <diagonal style="thin">
        <color theme="2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theme="2"/>
      </diagonal>
    </border>
    <border diagonalUp="1" diagonalDown="1">
      <left/>
      <right style="thin">
        <color indexed="64"/>
      </right>
      <top/>
      <bottom/>
      <diagonal style="thin">
        <color theme="2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theme="2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theme="2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theme="2"/>
      </diagonal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auto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theme="2"/>
      </diagonal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theme="2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 style="thin">
        <color theme="2"/>
      </diagonal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theme="2"/>
      </diagonal>
    </border>
    <border diagonalUp="1" diagonalDown="1">
      <left style="thin">
        <color indexed="64"/>
      </left>
      <right/>
      <top style="thin">
        <color indexed="64"/>
      </top>
      <bottom style="hair">
        <color indexed="64"/>
      </bottom>
      <diagonal style="thin">
        <color theme="2"/>
      </diagonal>
    </border>
    <border diagonalUp="1" diagonalDown="1">
      <left/>
      <right style="thin">
        <color indexed="64"/>
      </right>
      <top style="thin">
        <color indexed="64"/>
      </top>
      <bottom style="hair">
        <color indexed="64"/>
      </bottom>
      <diagonal style="thin">
        <color theme="2"/>
      </diagonal>
    </border>
    <border diagonalUp="1" diagonalDown="1">
      <left/>
      <right/>
      <top style="thin">
        <color indexed="64"/>
      </top>
      <bottom style="hair">
        <color indexed="64"/>
      </bottom>
      <diagonal style="thin">
        <color theme="2"/>
      </diagonal>
    </border>
    <border diagonalUp="1" diagonalDown="1">
      <left/>
      <right/>
      <top/>
      <bottom/>
      <diagonal style="thin">
        <color theme="2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theme="2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theme="2"/>
      </diagonal>
    </border>
    <border diagonalUp="1" diagonalDown="1">
      <left style="thin">
        <color indexed="64"/>
      </left>
      <right/>
      <top/>
      <bottom/>
      <diagonal style="thin">
        <color theme="2"/>
      </diagonal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/>
      <diagonal style="thin">
        <color theme="2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theme="1"/>
      </left>
      <right style="thin">
        <color theme="1"/>
      </right>
      <top style="thin">
        <color theme="1"/>
      </top>
      <bottom style="hair">
        <color indexed="64"/>
      </bottom>
      <diagonal style="thin">
        <color theme="2"/>
      </diagonal>
    </border>
    <border>
      <left style="thin">
        <color theme="1"/>
      </left>
      <right style="thin">
        <color theme="1"/>
      </right>
      <top style="hair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3" fillId="15" borderId="1" applyNumberFormat="0" applyFont="0" applyBorder="0" applyAlignment="0" applyProtection="0">
      <alignment horizontal="center" vertical="center" shrinkToFit="1"/>
    </xf>
    <xf numFmtId="41" fontId="1" fillId="0" borderId="0" applyFont="0" applyFill="0" applyBorder="0" applyAlignment="0" applyProtection="0">
      <alignment vertical="center"/>
    </xf>
    <xf numFmtId="0" fontId="5" fillId="16" borderId="12" applyNumberFormat="0" applyFont="0" applyAlignment="0" applyProtection="0">
      <alignment horizontal="center" vertical="center" shrinkToFit="1"/>
    </xf>
    <xf numFmtId="0" fontId="12" fillId="3" borderId="12" applyNumberFormat="0" applyFont="0" applyAlignment="0" applyProtection="0">
      <alignment horizontal="center" vertical="center" shrinkToFit="1"/>
    </xf>
    <xf numFmtId="0" fontId="44" fillId="13" borderId="1" applyNumberFormat="0" applyFont="0" applyAlignment="0" applyProtection="0">
      <alignment horizontal="center" vertical="center" shrinkToFit="1"/>
    </xf>
    <xf numFmtId="0" fontId="43" fillId="17" borderId="0" applyNumberFormat="0" applyFont="0" applyBorder="0" applyAlignment="0" applyProtection="0">
      <alignment horizontal="center" vertical="center" shrinkToFit="1"/>
    </xf>
    <xf numFmtId="41" fontId="1" fillId="0" borderId="0">
      <alignment vertical="center"/>
    </xf>
    <xf numFmtId="0" fontId="45" fillId="14" borderId="0" applyNumberFormat="0" applyFont="0" applyBorder="0" applyAlignment="0" applyProtection="0">
      <alignment horizontal="center" vertical="center" shrinkToFit="1"/>
    </xf>
  </cellStyleXfs>
  <cellXfs count="1172">
    <xf numFmtId="0" fontId="0" fillId="0" borderId="0" xfId="0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4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4" fillId="8" borderId="1" xfId="0" applyFont="1" applyFill="1" applyBorder="1" applyAlignment="1">
      <alignment horizontal="center" vertical="center" shrinkToFit="1"/>
    </xf>
    <xf numFmtId="176" fontId="13" fillId="0" borderId="6" xfId="0" applyNumberFormat="1" applyFont="1" applyBorder="1" applyAlignment="1">
      <alignment horizontal="center" vertical="center" shrinkToFit="1"/>
    </xf>
    <xf numFmtId="176" fontId="13" fillId="0" borderId="1" xfId="0" applyNumberFormat="1" applyFont="1" applyBorder="1" applyAlignment="1">
      <alignment horizontal="center" vertical="center" shrinkToFit="1"/>
    </xf>
    <xf numFmtId="176" fontId="13" fillId="0" borderId="18" xfId="0" applyNumberFormat="1" applyFont="1" applyBorder="1" applyAlignment="1">
      <alignment horizontal="center" vertical="center" shrinkToFit="1"/>
    </xf>
    <xf numFmtId="176" fontId="13" fillId="0" borderId="19" xfId="0" applyNumberFormat="1" applyFont="1" applyBorder="1" applyAlignment="1">
      <alignment horizontal="center" vertical="center" shrinkToFit="1"/>
    </xf>
    <xf numFmtId="176" fontId="16" fillId="0" borderId="19" xfId="0" applyNumberFormat="1" applyFont="1" applyBorder="1" applyAlignment="1">
      <alignment horizontal="center" vertical="center" wrapText="1" shrinkToFit="1"/>
    </xf>
    <xf numFmtId="176" fontId="13" fillId="0" borderId="0" xfId="0" applyNumberFormat="1" applyFont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0" fillId="0" borderId="5" xfId="0" applyBorder="1">
      <alignment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 shrinkToFit="1"/>
    </xf>
    <xf numFmtId="0" fontId="17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center" wrapText="1" shrinkToFit="1"/>
    </xf>
    <xf numFmtId="176" fontId="14" fillId="0" borderId="0" xfId="0" applyNumberFormat="1" applyFont="1" applyAlignment="1">
      <alignment horizontal="center" vertical="center" shrinkToFit="1"/>
    </xf>
    <xf numFmtId="0" fontId="19" fillId="0" borderId="0" xfId="0" applyFont="1">
      <alignment vertical="center"/>
    </xf>
    <xf numFmtId="0" fontId="9" fillId="0" borderId="0" xfId="0" applyFont="1" applyAlignment="1">
      <alignment vertical="center" wrapText="1" shrinkToFit="1"/>
    </xf>
    <xf numFmtId="0" fontId="6" fillId="0" borderId="0" xfId="0" applyFont="1" applyAlignment="1">
      <alignment vertical="center" shrinkToFit="1"/>
    </xf>
    <xf numFmtId="0" fontId="11" fillId="0" borderId="0" xfId="0" applyFont="1" applyAlignment="1">
      <alignment vertical="center" wrapText="1" shrinkToFit="1"/>
    </xf>
    <xf numFmtId="176" fontId="15" fillId="0" borderId="1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 shrinkToFit="1"/>
    </xf>
    <xf numFmtId="176" fontId="15" fillId="0" borderId="8" xfId="0" applyNumberFormat="1" applyFont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176" fontId="14" fillId="0" borderId="6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4" fillId="0" borderId="1" xfId="0" quotePrefix="1" applyNumberFormat="1" applyFont="1" applyBorder="1" applyAlignment="1">
      <alignment horizontal="center" vertical="center" shrinkToFit="1"/>
    </xf>
    <xf numFmtId="176" fontId="14" fillId="0" borderId="8" xfId="0" applyNumberFormat="1" applyFont="1" applyBorder="1" applyAlignment="1">
      <alignment horizontal="center" vertical="center" shrinkToFit="1"/>
    </xf>
    <xf numFmtId="176" fontId="14" fillId="0" borderId="18" xfId="0" applyNumberFormat="1" applyFont="1" applyBorder="1" applyAlignment="1">
      <alignment horizontal="center" vertical="center" shrinkToFit="1"/>
    </xf>
    <xf numFmtId="176" fontId="14" fillId="0" borderId="19" xfId="0" applyNumberFormat="1" applyFont="1" applyBorder="1" applyAlignment="1">
      <alignment horizontal="center" vertical="center" shrinkToFit="1"/>
    </xf>
    <xf numFmtId="176" fontId="22" fillId="0" borderId="19" xfId="0" applyNumberFormat="1" applyFont="1" applyBorder="1" applyAlignment="1">
      <alignment horizontal="center" vertical="center" shrinkToFit="1"/>
    </xf>
    <xf numFmtId="176" fontId="14" fillId="0" borderId="19" xfId="0" quotePrefix="1" applyNumberFormat="1" applyFont="1" applyBorder="1" applyAlignment="1">
      <alignment horizontal="center" vertical="center" shrinkToFit="1"/>
    </xf>
    <xf numFmtId="176" fontId="14" fillId="0" borderId="21" xfId="0" applyNumberFormat="1" applyFont="1" applyBorder="1" applyAlignment="1">
      <alignment horizontal="center" vertical="center" shrinkToFit="1"/>
    </xf>
    <xf numFmtId="176" fontId="9" fillId="0" borderId="6" xfId="0" applyNumberFormat="1" applyFont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vertical="center" shrinkToFit="1"/>
    </xf>
    <xf numFmtId="176" fontId="9" fillId="0" borderId="17" xfId="0" applyNumberFormat="1" applyFont="1" applyBorder="1" applyAlignment="1">
      <alignment horizontal="center" vertical="center" shrinkToFit="1"/>
    </xf>
    <xf numFmtId="176" fontId="9" fillId="0" borderId="11" xfId="0" applyNumberFormat="1" applyFont="1" applyBorder="1" applyAlignment="1">
      <alignment horizontal="center" vertical="center" shrinkToFit="1"/>
    </xf>
    <xf numFmtId="176" fontId="0" fillId="0" borderId="1" xfId="0" applyNumberFormat="1" applyBorder="1" applyAlignment="1">
      <alignment horizontal="center" vertical="center" shrinkToFit="1"/>
    </xf>
    <xf numFmtId="176" fontId="18" fillId="0" borderId="1" xfId="0" applyNumberFormat="1" applyFont="1" applyBorder="1" applyAlignment="1">
      <alignment horizontal="center" vertical="center" shrinkToFit="1"/>
    </xf>
    <xf numFmtId="176" fontId="18" fillId="0" borderId="19" xfId="0" applyNumberFormat="1" applyFont="1" applyBorder="1" applyAlignment="1">
      <alignment horizontal="center" vertical="center" shrinkToFit="1"/>
    </xf>
    <xf numFmtId="176" fontId="14" fillId="9" borderId="1" xfId="0" applyNumberFormat="1" applyFont="1" applyFill="1" applyBorder="1" applyAlignment="1">
      <alignment horizontal="center" vertical="center" shrinkToFit="1"/>
    </xf>
    <xf numFmtId="176" fontId="0" fillId="0" borderId="0" xfId="0" applyNumberFormat="1">
      <alignment vertical="center"/>
    </xf>
    <xf numFmtId="176" fontId="9" fillId="0" borderId="13" xfId="0" applyNumberFormat="1" applyFont="1" applyBorder="1" applyAlignment="1">
      <alignment horizontal="center" vertical="center" shrinkToFit="1"/>
    </xf>
    <xf numFmtId="176" fontId="0" fillId="0" borderId="11" xfId="0" applyNumberFormat="1" applyBorder="1" applyAlignment="1">
      <alignment horizontal="center" vertical="center" shrinkToFit="1"/>
    </xf>
    <xf numFmtId="176" fontId="0" fillId="0" borderId="17" xfId="0" applyNumberFormat="1" applyBorder="1" applyAlignment="1">
      <alignment horizontal="center" vertical="center" shrinkToFit="1"/>
    </xf>
    <xf numFmtId="176" fontId="0" fillId="0" borderId="0" xfId="0" applyNumberFormat="1" applyAlignment="1">
      <alignment vertical="center" shrinkToFit="1"/>
    </xf>
    <xf numFmtId="176" fontId="18" fillId="8" borderId="1" xfId="0" applyNumberFormat="1" applyFont="1" applyFill="1" applyBorder="1" applyAlignment="1">
      <alignment horizontal="center" vertical="center" shrinkToFit="1"/>
    </xf>
    <xf numFmtId="176" fontId="14" fillId="8" borderId="1" xfId="0" applyNumberFormat="1" applyFont="1" applyFill="1" applyBorder="1" applyAlignment="1">
      <alignment horizontal="center" vertical="center" shrinkToFit="1"/>
    </xf>
    <xf numFmtId="176" fontId="0" fillId="0" borderId="19" xfId="0" applyNumberFormat="1" applyBorder="1" applyAlignment="1">
      <alignment horizontal="center" vertical="center" shrinkToFit="1"/>
    </xf>
    <xf numFmtId="176" fontId="0" fillId="0" borderId="21" xfId="0" applyNumberForma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 shrinkToFit="1"/>
    </xf>
    <xf numFmtId="0" fontId="14" fillId="11" borderId="1" xfId="0" applyFont="1" applyFill="1" applyBorder="1" applyAlignment="1">
      <alignment horizontal="center" vertical="center" wrapText="1" shrinkToFit="1"/>
    </xf>
    <xf numFmtId="0" fontId="14" fillId="11" borderId="1" xfId="0" applyFont="1" applyFill="1" applyBorder="1" applyAlignment="1">
      <alignment horizontal="center" vertical="center" shrinkToFit="1"/>
    </xf>
    <xf numFmtId="0" fontId="28" fillId="8" borderId="1" xfId="0" applyFont="1" applyFill="1" applyBorder="1" applyAlignment="1">
      <alignment horizontal="center" vertical="center" shrinkToFit="1"/>
    </xf>
    <xf numFmtId="0" fontId="29" fillId="0" borderId="0" xfId="0" applyFont="1">
      <alignment vertical="center"/>
    </xf>
    <xf numFmtId="0" fontId="28" fillId="0" borderId="0" xfId="0" applyFont="1" applyAlignment="1">
      <alignment horizontal="center" vertical="center" shrinkToFit="1"/>
    </xf>
    <xf numFmtId="0" fontId="29" fillId="0" borderId="0" xfId="0" applyFont="1" applyAlignment="1">
      <alignment horizontal="center" vertical="center" shrinkToFit="1"/>
    </xf>
    <xf numFmtId="0" fontId="29" fillId="8" borderId="1" xfId="0" applyFont="1" applyFill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29" fillId="4" borderId="10" xfId="0" applyFont="1" applyFill="1" applyBorder="1" applyAlignment="1">
      <alignment horizontal="center" vertical="center" shrinkToFit="1"/>
    </xf>
    <xf numFmtId="0" fontId="29" fillId="2" borderId="11" xfId="0" applyFont="1" applyFill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wrapText="1" shrinkToFi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shrinkToFit="1"/>
    </xf>
    <xf numFmtId="176" fontId="26" fillId="2" borderId="1" xfId="0" applyNumberFormat="1" applyFont="1" applyFill="1" applyBorder="1" applyAlignment="1">
      <alignment horizontal="center" vertical="center" wrapText="1"/>
    </xf>
    <xf numFmtId="176" fontId="25" fillId="2" borderId="1" xfId="0" applyNumberFormat="1" applyFont="1" applyFill="1" applyBorder="1" applyAlignment="1">
      <alignment horizontal="center" vertical="center" shrinkToFit="1"/>
    </xf>
    <xf numFmtId="0" fontId="0" fillId="2" borderId="3" xfId="0" applyFill="1" applyBorder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6" xfId="0" applyFont="1" applyFill="1" applyBorder="1" applyAlignment="1">
      <alignment horizontal="center" vertical="center" wrapText="1" shrinkToFit="1"/>
    </xf>
    <xf numFmtId="0" fontId="23" fillId="0" borderId="0" xfId="0" applyFont="1" applyAlignment="1">
      <alignment vertical="center" shrinkToFit="1"/>
    </xf>
    <xf numFmtId="0" fontId="29" fillId="2" borderId="2" xfId="0" quotePrefix="1" applyFont="1" applyFill="1" applyBorder="1" applyAlignment="1">
      <alignment horizontal="center" vertical="center" shrinkToFit="1"/>
    </xf>
    <xf numFmtId="0" fontId="29" fillId="0" borderId="18" xfId="0" applyFont="1" applyBorder="1" applyAlignment="1">
      <alignment horizontal="center" vertical="center" shrinkToFit="1"/>
    </xf>
    <xf numFmtId="0" fontId="29" fillId="0" borderId="19" xfId="0" applyFont="1" applyBorder="1" applyAlignment="1">
      <alignment horizontal="center" vertical="center" shrinkToFit="1"/>
    </xf>
    <xf numFmtId="0" fontId="29" fillId="2" borderId="19" xfId="0" applyFont="1" applyFill="1" applyBorder="1" applyAlignment="1">
      <alignment horizontal="center" vertical="center" shrinkToFit="1"/>
    </xf>
    <xf numFmtId="0" fontId="28" fillId="0" borderId="19" xfId="0" applyFont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15" xfId="0" applyBorder="1">
      <alignment vertical="center"/>
    </xf>
    <xf numFmtId="176" fontId="15" fillId="2" borderId="1" xfId="0" applyNumberFormat="1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/>
    </xf>
    <xf numFmtId="176" fontId="25" fillId="2" borderId="1" xfId="0" applyNumberFormat="1" applyFont="1" applyFill="1" applyBorder="1" applyAlignment="1">
      <alignment horizontal="center" vertical="center"/>
    </xf>
    <xf numFmtId="176" fontId="27" fillId="2" borderId="1" xfId="0" applyNumberFormat="1" applyFont="1" applyFill="1" applyBorder="1" applyAlignment="1">
      <alignment horizontal="center" vertical="center"/>
    </xf>
    <xf numFmtId="176" fontId="15" fillId="2" borderId="1" xfId="0" applyNumberFormat="1" applyFont="1" applyFill="1" applyBorder="1" applyAlignment="1">
      <alignment horizontal="center" vertical="center" shrinkToFit="1"/>
    </xf>
    <xf numFmtId="176" fontId="15" fillId="2" borderId="8" xfId="0" applyNumberFormat="1" applyFont="1" applyFill="1" applyBorder="1" applyAlignment="1">
      <alignment horizontal="center" vertical="center" shrinkToFit="1"/>
    </xf>
    <xf numFmtId="0" fontId="28" fillId="8" borderId="10" xfId="0" applyFont="1" applyFill="1" applyBorder="1" applyAlignment="1">
      <alignment horizontal="center" vertical="center" shrinkToFit="1"/>
    </xf>
    <xf numFmtId="176" fontId="15" fillId="2" borderId="34" xfId="0" applyNumberFormat="1" applyFont="1" applyFill="1" applyBorder="1" applyAlignment="1">
      <alignment horizontal="center" vertical="center" shrinkToFit="1"/>
    </xf>
    <xf numFmtId="176" fontId="15" fillId="0" borderId="34" xfId="0" applyNumberFormat="1" applyFont="1" applyBorder="1" applyAlignment="1">
      <alignment horizontal="center" vertical="center" shrinkToFit="1"/>
    </xf>
    <xf numFmtId="176" fontId="0" fillId="0" borderId="33" xfId="0" applyNumberFormat="1" applyBorder="1" applyAlignment="1">
      <alignment horizontal="center" vertical="center" shrinkToFit="1"/>
    </xf>
    <xf numFmtId="176" fontId="0" fillId="0" borderId="35" xfId="0" applyNumberFormat="1" applyBorder="1" applyAlignment="1">
      <alignment horizontal="center" vertical="center" shrinkToFit="1"/>
    </xf>
    <xf numFmtId="176" fontId="26" fillId="2" borderId="8" xfId="0" applyNumberFormat="1" applyFont="1" applyFill="1" applyBorder="1" applyAlignment="1">
      <alignment horizontal="center" vertical="center"/>
    </xf>
    <xf numFmtId="176" fontId="25" fillId="0" borderId="8" xfId="0" applyNumberFormat="1" applyFont="1" applyBorder="1" applyAlignment="1">
      <alignment horizontal="center" vertical="center"/>
    </xf>
    <xf numFmtId="176" fontId="15" fillId="2" borderId="38" xfId="0" applyNumberFormat="1" applyFont="1" applyFill="1" applyBorder="1" applyAlignment="1">
      <alignment horizontal="center" vertical="center"/>
    </xf>
    <xf numFmtId="176" fontId="15" fillId="0" borderId="38" xfId="0" applyNumberFormat="1" applyFont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 shrinkToFit="1"/>
    </xf>
    <xf numFmtId="0" fontId="0" fillId="2" borderId="44" xfId="0" applyFill="1" applyBorder="1" applyAlignment="1">
      <alignment horizontal="center" vertical="center" shrinkToFit="1"/>
    </xf>
    <xf numFmtId="0" fontId="0" fillId="2" borderId="45" xfId="0" applyFill="1" applyBorder="1" applyAlignment="1">
      <alignment horizontal="center" vertical="center" shrinkToFit="1"/>
    </xf>
    <xf numFmtId="0" fontId="0" fillId="2" borderId="46" xfId="0" applyFill="1" applyBorder="1" applyAlignment="1">
      <alignment horizontal="center" vertical="center" shrinkToFit="1"/>
    </xf>
    <xf numFmtId="0" fontId="0" fillId="2" borderId="47" xfId="0" applyFill="1" applyBorder="1" applyAlignment="1">
      <alignment horizontal="center" vertical="center" shrinkToFi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1" fillId="12" borderId="53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29" fillId="6" borderId="62" xfId="0" applyFont="1" applyFill="1" applyBorder="1" applyAlignment="1">
      <alignment horizontal="center" vertical="center"/>
    </xf>
    <xf numFmtId="0" fontId="29" fillId="9" borderId="54" xfId="0" applyFont="1" applyFill="1" applyBorder="1" applyAlignment="1">
      <alignment horizontal="center" vertical="center"/>
    </xf>
    <xf numFmtId="0" fontId="29" fillId="9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/>
    </xf>
    <xf numFmtId="0" fontId="29" fillId="12" borderId="48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29" fillId="6" borderId="54" xfId="0" applyFont="1" applyFill="1" applyBorder="1" applyAlignment="1">
      <alignment horizontal="center" vertical="center"/>
    </xf>
    <xf numFmtId="0" fontId="29" fillId="12" borderId="52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center" vertical="center"/>
    </xf>
    <xf numFmtId="0" fontId="29" fillId="9" borderId="48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shrinkToFit="1"/>
    </xf>
    <xf numFmtId="0" fontId="0" fillId="2" borderId="65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 shrinkToFit="1"/>
    </xf>
    <xf numFmtId="0" fontId="0" fillId="2" borderId="3" xfId="0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71" xfId="0" applyFill="1" applyBorder="1" applyAlignment="1">
      <alignment horizontal="center" vertical="center" shrinkToFit="1"/>
    </xf>
    <xf numFmtId="0" fontId="0" fillId="0" borderId="72" xfId="0" applyBorder="1">
      <alignment vertical="center"/>
    </xf>
    <xf numFmtId="0" fontId="0" fillId="0" borderId="73" xfId="0" applyBorder="1">
      <alignment vertical="center"/>
    </xf>
    <xf numFmtId="0" fontId="24" fillId="6" borderId="25" xfId="0" applyFont="1" applyFill="1" applyBorder="1" applyAlignment="1">
      <alignment horizontal="center" vertical="center" shrinkToFit="1"/>
    </xf>
    <xf numFmtId="0" fontId="24" fillId="6" borderId="22" xfId="0" applyFont="1" applyFill="1" applyBorder="1" applyAlignment="1">
      <alignment horizontal="center" vertical="center" shrinkToFit="1"/>
    </xf>
    <xf numFmtId="0" fontId="24" fillId="6" borderId="26" xfId="0" applyFont="1" applyFill="1" applyBorder="1" applyAlignment="1">
      <alignment horizontal="center" vertical="center" shrinkToFit="1"/>
    </xf>
    <xf numFmtId="0" fontId="0" fillId="4" borderId="76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9" fillId="2" borderId="91" xfId="0" applyFont="1" applyFill="1" applyBorder="1" applyAlignment="1">
      <alignment vertical="center" shrinkToFit="1"/>
    </xf>
    <xf numFmtId="0" fontId="0" fillId="2" borderId="11" xfId="0" applyFill="1" applyBorder="1" applyAlignment="1">
      <alignment vertical="center" shrinkToFit="1"/>
    </xf>
    <xf numFmtId="1" fontId="29" fillId="2" borderId="1" xfId="0" applyNumberFormat="1" applyFont="1" applyFill="1" applyBorder="1" applyAlignment="1">
      <alignment horizontal="center" vertical="center" shrinkToFit="1"/>
    </xf>
    <xf numFmtId="1" fontId="29" fillId="4" borderId="1" xfId="0" applyNumberFormat="1" applyFont="1" applyFill="1" applyBorder="1" applyAlignment="1">
      <alignment horizontal="center" vertical="center" shrinkToFit="1"/>
    </xf>
    <xf numFmtId="0" fontId="29" fillId="2" borderId="10" xfId="0" applyFont="1" applyFill="1" applyBorder="1" applyAlignment="1">
      <alignment vertical="center" shrinkToFit="1"/>
    </xf>
    <xf numFmtId="0" fontId="29" fillId="2" borderId="85" xfId="0" applyFont="1" applyFill="1" applyBorder="1" applyAlignment="1">
      <alignment vertical="center" shrinkToFit="1"/>
    </xf>
    <xf numFmtId="0" fontId="29" fillId="2" borderId="81" xfId="0" applyFont="1" applyFill="1" applyBorder="1" applyAlignment="1">
      <alignment vertical="center" shrinkToFit="1"/>
    </xf>
    <xf numFmtId="0" fontId="29" fillId="2" borderId="0" xfId="0" applyFont="1" applyFill="1" applyAlignment="1">
      <alignment vertical="center" shrinkToFit="1"/>
    </xf>
    <xf numFmtId="0" fontId="29" fillId="2" borderId="84" xfId="0" applyFont="1" applyFill="1" applyBorder="1" applyAlignment="1">
      <alignment vertical="center" shrinkToFit="1"/>
    </xf>
    <xf numFmtId="0" fontId="29" fillId="2" borderId="67" xfId="0" applyFont="1" applyFill="1" applyBorder="1" applyAlignment="1">
      <alignment vertical="center" shrinkToFit="1"/>
    </xf>
    <xf numFmtId="0" fontId="29" fillId="2" borderId="29" xfId="0" applyFont="1" applyFill="1" applyBorder="1" applyAlignment="1">
      <alignment vertical="center" shrinkToFit="1"/>
    </xf>
    <xf numFmtId="0" fontId="29" fillId="2" borderId="86" xfId="0" applyFont="1" applyFill="1" applyBorder="1" applyAlignment="1">
      <alignment vertical="center" shrinkToFit="1"/>
    </xf>
    <xf numFmtId="0" fontId="29" fillId="2" borderId="99" xfId="0" applyFont="1" applyFill="1" applyBorder="1" applyAlignment="1">
      <alignment vertical="center" shrinkToFit="1"/>
    </xf>
    <xf numFmtId="0" fontId="29" fillId="2" borderId="31" xfId="0" applyFont="1" applyFill="1" applyBorder="1" applyAlignment="1">
      <alignment vertical="center" shrinkToFit="1"/>
    </xf>
    <xf numFmtId="0" fontId="29" fillId="2" borderId="26" xfId="0" applyFont="1" applyFill="1" applyBorder="1" applyAlignment="1">
      <alignment vertical="center" shrinkToFit="1"/>
    </xf>
    <xf numFmtId="0" fontId="29" fillId="2" borderId="96" xfId="0" applyFont="1" applyFill="1" applyBorder="1" applyAlignment="1">
      <alignment vertical="center" shrinkToFit="1"/>
    </xf>
    <xf numFmtId="0" fontId="29" fillId="2" borderId="97" xfId="0" applyFont="1" applyFill="1" applyBorder="1" applyAlignment="1">
      <alignment vertical="center" shrinkToFit="1"/>
    </xf>
    <xf numFmtId="0" fontId="29" fillId="2" borderId="98" xfId="0" applyFont="1" applyFill="1" applyBorder="1" applyAlignment="1">
      <alignment vertical="center" shrinkToFit="1"/>
    </xf>
    <xf numFmtId="0" fontId="29" fillId="2" borderId="88" xfId="0" applyFont="1" applyFill="1" applyBorder="1" applyAlignment="1">
      <alignment vertical="center" shrinkToFit="1"/>
    </xf>
    <xf numFmtId="0" fontId="29" fillId="2" borderId="89" xfId="0" applyFont="1" applyFill="1" applyBorder="1" applyAlignment="1">
      <alignment vertical="center" shrinkToFit="1"/>
    </xf>
    <xf numFmtId="0" fontId="29" fillId="2" borderId="90" xfId="0" applyFont="1" applyFill="1" applyBorder="1" applyAlignment="1">
      <alignment vertical="center" shrinkToFit="1"/>
    </xf>
    <xf numFmtId="0" fontId="29" fillId="2" borderId="82" xfId="0" applyFont="1" applyFill="1" applyBorder="1" applyAlignment="1">
      <alignment vertical="center" shrinkToFit="1"/>
    </xf>
    <xf numFmtId="0" fontId="29" fillId="2" borderId="93" xfId="0" applyFont="1" applyFill="1" applyBorder="1" applyAlignment="1">
      <alignment vertical="center" shrinkToFit="1"/>
    </xf>
    <xf numFmtId="0" fontId="29" fillId="2" borderId="94" xfId="0" applyFont="1" applyFill="1" applyBorder="1" applyAlignment="1">
      <alignment vertical="center" shrinkToFit="1"/>
    </xf>
    <xf numFmtId="0" fontId="29" fillId="2" borderId="95" xfId="0" applyFont="1" applyFill="1" applyBorder="1" applyAlignment="1">
      <alignment vertical="center" shrinkToFit="1"/>
    </xf>
    <xf numFmtId="1" fontId="29" fillId="2" borderId="0" xfId="0" applyNumberFormat="1" applyFont="1" applyFill="1" applyAlignment="1">
      <alignment vertical="center" shrinkToFit="1"/>
    </xf>
    <xf numFmtId="1" fontId="29" fillId="2" borderId="85" xfId="0" applyNumberFormat="1" applyFont="1" applyFill="1" applyBorder="1" applyAlignment="1">
      <alignment vertical="center" shrinkToFit="1"/>
    </xf>
    <xf numFmtId="1" fontId="29" fillId="2" borderId="92" xfId="0" applyNumberFormat="1" applyFont="1" applyFill="1" applyBorder="1" applyAlignment="1">
      <alignment vertical="center" shrinkToFit="1"/>
    </xf>
    <xf numFmtId="1" fontId="29" fillId="2" borderId="29" xfId="0" applyNumberFormat="1" applyFont="1" applyFill="1" applyBorder="1" applyAlignment="1">
      <alignment vertical="center" shrinkToFit="1"/>
    </xf>
    <xf numFmtId="1" fontId="29" fillId="2" borderId="97" xfId="0" applyNumberFormat="1" applyFont="1" applyFill="1" applyBorder="1" applyAlignment="1">
      <alignment vertical="center" shrinkToFit="1"/>
    </xf>
    <xf numFmtId="1" fontId="29" fillId="2" borderId="89" xfId="0" applyNumberFormat="1" applyFont="1" applyFill="1" applyBorder="1" applyAlignment="1">
      <alignment vertical="center" shrinkToFit="1"/>
    </xf>
    <xf numFmtId="1" fontId="29" fillId="2" borderId="22" xfId="0" applyNumberFormat="1" applyFont="1" applyFill="1" applyBorder="1" applyAlignment="1">
      <alignment vertical="center" shrinkToFit="1"/>
    </xf>
    <xf numFmtId="1" fontId="29" fillId="2" borderId="86" xfId="0" applyNumberFormat="1" applyFont="1" applyFill="1" applyBorder="1" applyAlignment="1">
      <alignment vertical="center" shrinkToFit="1"/>
    </xf>
    <xf numFmtId="1" fontId="29" fillId="2" borderId="26" xfId="0" applyNumberFormat="1" applyFont="1" applyFill="1" applyBorder="1" applyAlignment="1">
      <alignment vertical="center" shrinkToFit="1"/>
    </xf>
    <xf numFmtId="1" fontId="29" fillId="2" borderId="90" xfId="0" applyNumberFormat="1" applyFont="1" applyFill="1" applyBorder="1" applyAlignment="1">
      <alignment vertical="center" shrinkToFit="1"/>
    </xf>
    <xf numFmtId="1" fontId="29" fillId="2" borderId="98" xfId="0" applyNumberFormat="1" applyFont="1" applyFill="1" applyBorder="1" applyAlignment="1">
      <alignment vertical="center" shrinkToFit="1"/>
    </xf>
    <xf numFmtId="1" fontId="29" fillId="2" borderId="84" xfId="0" applyNumberFormat="1" applyFont="1" applyFill="1" applyBorder="1" applyAlignment="1">
      <alignment vertical="center" shrinkToFit="1"/>
    </xf>
    <xf numFmtId="1" fontId="29" fillId="2" borderId="100" xfId="0" applyNumberFormat="1" applyFont="1" applyFill="1" applyBorder="1" applyAlignment="1">
      <alignment vertical="center" shrinkToFit="1"/>
    </xf>
    <xf numFmtId="0" fontId="0" fillId="0" borderId="10" xfId="0" applyBorder="1">
      <alignment vertical="center"/>
    </xf>
    <xf numFmtId="0" fontId="29" fillId="2" borderId="11" xfId="0" applyFont="1" applyFill="1" applyBorder="1" applyAlignment="1">
      <alignment vertical="center" shrinkToFit="1"/>
    </xf>
    <xf numFmtId="0" fontId="0" fillId="0" borderId="67" xfId="0" applyBorder="1">
      <alignment vertical="center"/>
    </xf>
    <xf numFmtId="0" fontId="0" fillId="0" borderId="82" xfId="0" applyBorder="1">
      <alignment vertical="center"/>
    </xf>
    <xf numFmtId="0" fontId="0" fillId="0" borderId="29" xfId="0" applyBorder="1">
      <alignment vertical="center"/>
    </xf>
    <xf numFmtId="0" fontId="0" fillId="0" borderId="31" xfId="0" applyBorder="1">
      <alignment vertical="center"/>
    </xf>
    <xf numFmtId="1" fontId="0" fillId="2" borderId="9" xfId="0" applyNumberFormat="1" applyFill="1" applyBorder="1" applyAlignment="1">
      <alignment horizontal="center" vertical="center" shrinkToFit="1"/>
    </xf>
    <xf numFmtId="1" fontId="0" fillId="0" borderId="85" xfId="0" applyNumberFormat="1" applyBorder="1">
      <alignment vertical="center"/>
    </xf>
    <xf numFmtId="1" fontId="0" fillId="0" borderId="29" xfId="0" applyNumberFormat="1" applyBorder="1">
      <alignment vertical="center"/>
    </xf>
    <xf numFmtId="1" fontId="0" fillId="0" borderId="31" xfId="0" applyNumberFormat="1" applyBorder="1">
      <alignment vertical="center"/>
    </xf>
    <xf numFmtId="1" fontId="0" fillId="2" borderId="63" xfId="0" applyNumberFormat="1" applyFill="1" applyBorder="1" applyAlignment="1">
      <alignment horizontal="center" vertical="center" shrinkToFit="1"/>
    </xf>
    <xf numFmtId="0" fontId="0" fillId="2" borderId="85" xfId="0" applyFill="1" applyBorder="1" applyAlignment="1">
      <alignment vertical="center" shrinkToFit="1"/>
    </xf>
    <xf numFmtId="0" fontId="0" fillId="2" borderId="29" xfId="0" applyFill="1" applyBorder="1" applyAlignment="1">
      <alignment vertical="center" shrinkToFit="1"/>
    </xf>
    <xf numFmtId="0" fontId="0" fillId="2" borderId="13" xfId="0" applyFill="1" applyBorder="1" applyAlignment="1">
      <alignment vertical="center" shrinkToFit="1"/>
    </xf>
    <xf numFmtId="0" fontId="0" fillId="2" borderId="103" xfId="0" applyFill="1" applyBorder="1" applyAlignment="1">
      <alignment vertical="center" shrinkToFit="1"/>
    </xf>
    <xf numFmtId="1" fontId="0" fillId="2" borderId="74" xfId="0" applyNumberFormat="1" applyFill="1" applyBorder="1" applyAlignment="1">
      <alignment vertical="center" shrinkToFit="1"/>
    </xf>
    <xf numFmtId="1" fontId="0" fillId="2" borderId="91" xfId="0" applyNumberFormat="1" applyFill="1" applyBorder="1" applyAlignment="1">
      <alignment vertical="center" shrinkToFit="1"/>
    </xf>
    <xf numFmtId="1" fontId="0" fillId="2" borderId="101" xfId="0" applyNumberFormat="1" applyFill="1" applyBorder="1" applyAlignment="1">
      <alignment vertical="center" shrinkToFit="1"/>
    </xf>
    <xf numFmtId="1" fontId="0" fillId="2" borderId="102" xfId="0" applyNumberFormat="1" applyFill="1" applyBorder="1" applyAlignment="1">
      <alignment vertical="center" shrinkToFit="1"/>
    </xf>
    <xf numFmtId="1" fontId="0" fillId="2" borderId="29" xfId="0" applyNumberFormat="1" applyFill="1" applyBorder="1" applyAlignment="1">
      <alignment vertical="center" shrinkToFit="1"/>
    </xf>
    <xf numFmtId="1" fontId="0" fillId="2" borderId="28" xfId="0" applyNumberFormat="1" applyFill="1" applyBorder="1" applyAlignment="1">
      <alignment vertical="center" shrinkToFit="1"/>
    </xf>
    <xf numFmtId="1" fontId="0" fillId="4" borderId="76" xfId="0" applyNumberFormat="1" applyFill="1" applyBorder="1" applyAlignment="1">
      <alignment horizontal="center" vertical="center" shrinkToFit="1"/>
    </xf>
    <xf numFmtId="1" fontId="29" fillId="2" borderId="64" xfId="0" applyNumberFormat="1" applyFont="1" applyFill="1" applyBorder="1" applyAlignment="1">
      <alignment horizontal="center" vertical="center" shrinkToFit="1"/>
    </xf>
    <xf numFmtId="1" fontId="29" fillId="2" borderId="104" xfId="0" applyNumberFormat="1" applyFont="1" applyFill="1" applyBorder="1" applyAlignment="1">
      <alignment vertical="center" shrinkToFit="1"/>
    </xf>
    <xf numFmtId="1" fontId="29" fillId="2" borderId="31" xfId="0" applyNumberFormat="1" applyFont="1" applyFill="1" applyBorder="1" applyAlignment="1">
      <alignment vertical="center" shrinkToFit="1"/>
    </xf>
    <xf numFmtId="1" fontId="29" fillId="2" borderId="67" xfId="0" applyNumberFormat="1" applyFont="1" applyFill="1" applyBorder="1" applyAlignment="1">
      <alignment vertical="center" shrinkToFit="1"/>
    </xf>
    <xf numFmtId="1" fontId="29" fillId="2" borderId="10" xfId="0" applyNumberFormat="1" applyFont="1" applyFill="1" applyBorder="1" applyAlignment="1">
      <alignment vertical="center" shrinkToFit="1"/>
    </xf>
    <xf numFmtId="1" fontId="29" fillId="2" borderId="82" xfId="0" applyNumberFormat="1" applyFont="1" applyFill="1" applyBorder="1" applyAlignment="1">
      <alignment vertical="center" shrinkToFit="1"/>
    </xf>
    <xf numFmtId="1" fontId="29" fillId="2" borderId="96" xfId="0" applyNumberFormat="1" applyFont="1" applyFill="1" applyBorder="1" applyAlignment="1">
      <alignment vertical="center" shrinkToFit="1"/>
    </xf>
    <xf numFmtId="1" fontId="29" fillId="2" borderId="78" xfId="0" applyNumberFormat="1" applyFont="1" applyFill="1" applyBorder="1" applyAlignment="1">
      <alignment vertical="center" shrinkToFit="1"/>
    </xf>
    <xf numFmtId="1" fontId="29" fillId="2" borderId="79" xfId="0" applyNumberFormat="1" applyFont="1" applyFill="1" applyBorder="1" applyAlignment="1">
      <alignment vertical="center" shrinkToFit="1"/>
    </xf>
    <xf numFmtId="1" fontId="29" fillId="2" borderId="88" xfId="0" applyNumberFormat="1" applyFont="1" applyFill="1" applyBorder="1" applyAlignment="1">
      <alignment vertical="center" shrinkToFit="1"/>
    </xf>
    <xf numFmtId="1" fontId="29" fillId="2" borderId="105" xfId="0" applyNumberFormat="1" applyFont="1" applyFill="1" applyBorder="1" applyAlignment="1">
      <alignment vertical="center" shrinkToFit="1"/>
    </xf>
    <xf numFmtId="1" fontId="29" fillId="2" borderId="81" xfId="0" applyNumberFormat="1" applyFont="1" applyFill="1" applyBorder="1" applyAlignment="1">
      <alignment vertical="center" shrinkToFit="1"/>
    </xf>
    <xf numFmtId="1" fontId="29" fillId="2" borderId="106" xfId="0" applyNumberFormat="1" applyFont="1" applyFill="1" applyBorder="1" applyAlignment="1">
      <alignment vertical="center" shrinkToFit="1"/>
    </xf>
    <xf numFmtId="1" fontId="29" fillId="2" borderId="107" xfId="0" applyNumberFormat="1" applyFont="1" applyFill="1" applyBorder="1" applyAlignment="1">
      <alignment vertical="center" shrinkToFit="1"/>
    </xf>
    <xf numFmtId="1" fontId="29" fillId="2" borderId="27" xfId="0" applyNumberFormat="1" applyFont="1" applyFill="1" applyBorder="1" applyAlignment="1">
      <alignment vertical="center" shrinkToFit="1"/>
    </xf>
    <xf numFmtId="1" fontId="29" fillId="10" borderId="9" xfId="0" applyNumberFormat="1" applyFont="1" applyFill="1" applyBorder="1" applyAlignment="1">
      <alignment horizontal="center" vertical="center" shrinkToFit="1"/>
    </xf>
    <xf numFmtId="0" fontId="14" fillId="8" borderId="108" xfId="0" applyFont="1" applyFill="1" applyBorder="1" applyAlignment="1">
      <alignment horizontal="center" vertical="center" shrinkToFit="1"/>
    </xf>
    <xf numFmtId="0" fontId="30" fillId="2" borderId="41" xfId="0" applyFont="1" applyFill="1" applyBorder="1" applyAlignment="1">
      <alignment vertical="center" shrinkToFit="1"/>
    </xf>
    <xf numFmtId="0" fontId="0" fillId="0" borderId="69" xfId="0" applyBorder="1">
      <alignment vertical="center"/>
    </xf>
    <xf numFmtId="0" fontId="0" fillId="2" borderId="69" xfId="0" applyFill="1" applyBorder="1" applyAlignment="1">
      <alignment horizontal="center" vertical="center" shrinkToFit="1"/>
    </xf>
    <xf numFmtId="0" fontId="17" fillId="8" borderId="110" xfId="0" applyFont="1" applyFill="1" applyBorder="1" applyAlignment="1">
      <alignment horizontal="center" vertical="center" shrinkToFit="1"/>
    </xf>
    <xf numFmtId="0" fontId="18" fillId="8" borderId="111" xfId="0" applyFont="1" applyFill="1" applyBorder="1" applyAlignment="1">
      <alignment horizontal="center" vertical="center" shrinkToFit="1"/>
    </xf>
    <xf numFmtId="0" fontId="14" fillId="8" borderId="111" xfId="0" applyFont="1" applyFill="1" applyBorder="1" applyAlignment="1">
      <alignment horizontal="center" vertical="center" shrinkToFit="1"/>
    </xf>
    <xf numFmtId="0" fontId="28" fillId="8" borderId="111" xfId="0" applyFont="1" applyFill="1" applyBorder="1" applyAlignment="1">
      <alignment horizontal="center" vertical="center" shrinkToFit="1"/>
    </xf>
    <xf numFmtId="0" fontId="29" fillId="8" borderId="111" xfId="0" applyFont="1" applyFill="1" applyBorder="1" applyAlignment="1">
      <alignment horizontal="center" vertical="center" shrinkToFit="1"/>
    </xf>
    <xf numFmtId="0" fontId="28" fillId="8" borderId="112" xfId="0" applyFont="1" applyFill="1" applyBorder="1" applyAlignment="1">
      <alignment horizontal="center" vertical="center" shrinkToFit="1"/>
    </xf>
    <xf numFmtId="0" fontId="11" fillId="8" borderId="111" xfId="0" applyFont="1" applyFill="1" applyBorder="1" applyAlignment="1">
      <alignment horizontal="center" vertical="center" shrinkToFit="1"/>
    </xf>
    <xf numFmtId="0" fontId="17" fillId="8" borderId="111" xfId="0" applyFont="1" applyFill="1" applyBorder="1" applyAlignment="1">
      <alignment horizontal="center" vertical="center" shrinkToFit="1"/>
    </xf>
    <xf numFmtId="0" fontId="14" fillId="8" borderId="111" xfId="0" applyFont="1" applyFill="1" applyBorder="1" applyAlignment="1">
      <alignment horizontal="center" vertical="center" wrapText="1" shrinkToFit="1"/>
    </xf>
    <xf numFmtId="0" fontId="14" fillId="11" borderId="111" xfId="0" applyFont="1" applyFill="1" applyBorder="1" applyAlignment="1">
      <alignment horizontal="center" vertical="center" wrapText="1" shrinkToFit="1"/>
    </xf>
    <xf numFmtId="0" fontId="14" fillId="11" borderId="111" xfId="0" applyFont="1" applyFill="1" applyBorder="1" applyAlignment="1">
      <alignment horizontal="center" vertical="center" shrinkToFit="1"/>
    </xf>
    <xf numFmtId="176" fontId="14" fillId="9" borderId="111" xfId="0" applyNumberFormat="1" applyFont="1" applyFill="1" applyBorder="1" applyAlignment="1">
      <alignment horizontal="center" vertical="center" shrinkToFit="1"/>
    </xf>
    <xf numFmtId="176" fontId="18" fillId="8" borderId="111" xfId="0" applyNumberFormat="1" applyFont="1" applyFill="1" applyBorder="1" applyAlignment="1">
      <alignment horizontal="center" vertical="center" shrinkToFit="1"/>
    </xf>
    <xf numFmtId="176" fontId="14" fillId="8" borderId="113" xfId="0" applyNumberFormat="1" applyFont="1" applyFill="1" applyBorder="1" applyAlignment="1">
      <alignment horizontal="center" vertical="center" shrinkToFit="1"/>
    </xf>
    <xf numFmtId="0" fontId="29" fillId="14" borderId="14" xfId="0" applyFont="1" applyFill="1" applyBorder="1" applyAlignment="1">
      <alignment horizontal="center" vertical="center" shrinkToFit="1"/>
    </xf>
    <xf numFmtId="0" fontId="0" fillId="14" borderId="14" xfId="0" applyFill="1" applyBorder="1" applyAlignment="1">
      <alignment horizontal="center" vertical="center" shrinkToFit="1"/>
    </xf>
    <xf numFmtId="0" fontId="0" fillId="14" borderId="109" xfId="0" applyFill="1" applyBorder="1" applyAlignment="1">
      <alignment horizontal="center" vertical="center" shrinkToFit="1"/>
    </xf>
    <xf numFmtId="0" fontId="0" fillId="14" borderId="1" xfId="0" applyFill="1" applyBorder="1">
      <alignment vertical="center"/>
    </xf>
    <xf numFmtId="0" fontId="0" fillId="14" borderId="9" xfId="0" applyFill="1" applyBorder="1" applyAlignment="1">
      <alignment horizontal="center" vertical="center" shrinkToFit="1"/>
    </xf>
    <xf numFmtId="0" fontId="0" fillId="14" borderId="67" xfId="0" applyFill="1" applyBorder="1" applyAlignment="1">
      <alignment horizontal="center" vertical="center" shrinkToFit="1"/>
    </xf>
    <xf numFmtId="0" fontId="0" fillId="14" borderId="76" xfId="0" applyFill="1" applyBorder="1" applyAlignment="1">
      <alignment horizontal="center" vertical="center" shrinkToFit="1"/>
    </xf>
    <xf numFmtId="0" fontId="0" fillId="14" borderId="28" xfId="0" applyFill="1" applyBorder="1" applyAlignment="1">
      <alignment horizontal="center" vertical="center" shrinkToFit="1"/>
    </xf>
    <xf numFmtId="0" fontId="29" fillId="14" borderId="9" xfId="0" applyFont="1" applyFill="1" applyBorder="1" applyAlignment="1">
      <alignment horizontal="center" vertical="center" shrinkToFit="1"/>
    </xf>
    <xf numFmtId="0" fontId="0" fillId="14" borderId="1" xfId="0" applyFill="1" applyBorder="1" applyAlignment="1">
      <alignment horizontal="center" vertical="center" shrinkToFit="1"/>
    </xf>
    <xf numFmtId="0" fontId="29" fillId="14" borderId="1" xfId="0" applyFont="1" applyFill="1" applyBorder="1" applyAlignment="1">
      <alignment horizontal="center" vertical="center" shrinkToFit="1"/>
    </xf>
    <xf numFmtId="1" fontId="29" fillId="14" borderId="9" xfId="0" applyNumberFormat="1" applyFont="1" applyFill="1" applyBorder="1" applyAlignment="1">
      <alignment horizontal="center" vertical="center" shrinkToFit="1"/>
    </xf>
    <xf numFmtId="1" fontId="0" fillId="14" borderId="1" xfId="0" applyNumberFormat="1" applyFill="1" applyBorder="1" applyAlignment="1">
      <alignment horizontal="center" vertical="center" shrinkToFit="1"/>
    </xf>
    <xf numFmtId="1" fontId="0" fillId="14" borderId="9" xfId="0" applyNumberFormat="1" applyFill="1" applyBorder="1" applyAlignment="1">
      <alignment horizontal="center" vertical="center" shrinkToFit="1"/>
    </xf>
    <xf numFmtId="1" fontId="29" fillId="14" borderId="1" xfId="0" applyNumberFormat="1" applyFont="1" applyFill="1" applyBorder="1" applyAlignment="1">
      <alignment horizontal="center" vertical="center" shrinkToFit="1"/>
    </xf>
    <xf numFmtId="0" fontId="0" fillId="14" borderId="9" xfId="0" applyFill="1" applyBorder="1">
      <alignment vertical="center"/>
    </xf>
    <xf numFmtId="1" fontId="29" fillId="14" borderId="67" xfId="0" applyNumberFormat="1" applyFont="1" applyFill="1" applyBorder="1" applyAlignment="1">
      <alignment horizontal="center" vertical="center" shrinkToFit="1"/>
    </xf>
    <xf numFmtId="0" fontId="29" fillId="14" borderId="9" xfId="0" applyFont="1" applyFill="1" applyBorder="1" applyAlignment="1">
      <alignment horizontal="center" vertical="top" shrinkToFit="1"/>
    </xf>
    <xf numFmtId="0" fontId="29" fillId="14" borderId="1" xfId="0" applyFont="1" applyFill="1" applyBorder="1" applyAlignment="1">
      <alignment horizontal="center" vertical="top" shrinkToFit="1"/>
    </xf>
    <xf numFmtId="1" fontId="29" fillId="14" borderId="10" xfId="0" applyNumberFormat="1" applyFont="1" applyFill="1" applyBorder="1" applyAlignment="1">
      <alignment horizontal="center" vertical="center" shrinkToFit="1"/>
    </xf>
    <xf numFmtId="0" fontId="0" fillId="14" borderId="77" xfId="0" applyFill="1" applyBorder="1" applyAlignment="1">
      <alignment horizontal="center" vertical="center" shrinkToFit="1"/>
    </xf>
    <xf numFmtId="1" fontId="0" fillId="14" borderId="7" xfId="0" applyNumberFormat="1" applyFill="1" applyBorder="1" applyAlignment="1">
      <alignment horizontal="center" vertical="center" shrinkToFit="1"/>
    </xf>
    <xf numFmtId="0" fontId="0" fillId="14" borderId="7" xfId="0" applyFill="1" applyBorder="1">
      <alignment vertical="center"/>
    </xf>
    <xf numFmtId="1" fontId="29" fillId="14" borderId="7" xfId="0" applyNumberFormat="1" applyFont="1" applyFill="1" applyBorder="1" applyAlignment="1">
      <alignment horizontal="center" vertical="center" shrinkToFit="1"/>
    </xf>
    <xf numFmtId="0" fontId="29" fillId="14" borderId="7" xfId="0" applyFont="1" applyFill="1" applyBorder="1" applyAlignment="1">
      <alignment horizontal="center" vertical="center" shrinkToFit="1"/>
    </xf>
    <xf numFmtId="0" fontId="29" fillId="14" borderId="7" xfId="0" applyFont="1" applyFill="1" applyBorder="1" applyAlignment="1">
      <alignment horizontal="center" vertical="top" shrinkToFit="1"/>
    </xf>
    <xf numFmtId="1" fontId="29" fillId="14" borderId="20" xfId="0" applyNumberFormat="1" applyFont="1" applyFill="1" applyBorder="1" applyAlignment="1">
      <alignment horizontal="center" vertical="center" shrinkToFit="1"/>
    </xf>
    <xf numFmtId="0" fontId="29" fillId="14" borderId="6" xfId="0" applyFont="1" applyFill="1" applyBorder="1" applyAlignment="1">
      <alignment horizontal="center" vertical="center" shrinkToFit="1"/>
    </xf>
    <xf numFmtId="1" fontId="0" fillId="14" borderId="6" xfId="0" applyNumberFormat="1" applyFill="1" applyBorder="1" applyAlignment="1">
      <alignment horizontal="center" vertical="center" shrinkToFit="1"/>
    </xf>
    <xf numFmtId="1" fontId="0" fillId="14" borderId="75" xfId="0" applyNumberFormat="1" applyFill="1" applyBorder="1" applyAlignment="1">
      <alignment horizontal="center" vertical="center" shrinkToFit="1"/>
    </xf>
    <xf numFmtId="1" fontId="29" fillId="14" borderId="6" xfId="0" applyNumberFormat="1" applyFont="1" applyFill="1" applyBorder="1" applyAlignment="1">
      <alignment horizontal="center" vertical="center" shrinkToFit="1"/>
    </xf>
    <xf numFmtId="1" fontId="29" fillId="14" borderId="6" xfId="0" applyNumberFormat="1" applyFont="1" applyFill="1" applyBorder="1" applyAlignment="1">
      <alignment vertical="center" shrinkToFit="1"/>
    </xf>
    <xf numFmtId="1" fontId="29" fillId="14" borderId="18" xfId="0" applyNumberFormat="1" applyFont="1" applyFill="1" applyBorder="1" applyAlignment="1">
      <alignment horizontal="center" vertical="center" shrinkToFit="1"/>
    </xf>
    <xf numFmtId="1" fontId="0" fillId="14" borderId="76" xfId="0" applyNumberFormat="1" applyFill="1" applyBorder="1" applyAlignment="1">
      <alignment horizontal="center" vertical="center" shrinkToFit="1"/>
    </xf>
    <xf numFmtId="1" fontId="29" fillId="14" borderId="1" xfId="0" applyNumberFormat="1" applyFont="1" applyFill="1" applyBorder="1" applyAlignment="1">
      <alignment vertical="center" shrinkToFit="1"/>
    </xf>
    <xf numFmtId="0" fontId="0" fillId="14" borderId="7" xfId="0" applyFill="1" applyBorder="1" applyAlignment="1">
      <alignment horizontal="center" vertical="center" shrinkToFit="1"/>
    </xf>
    <xf numFmtId="1" fontId="0" fillId="14" borderId="77" xfId="0" applyNumberFormat="1" applyFill="1" applyBorder="1" applyAlignment="1">
      <alignment horizontal="center" vertical="center" shrinkToFit="1"/>
    </xf>
    <xf numFmtId="1" fontId="29" fillId="14" borderId="10" xfId="0" applyNumberFormat="1" applyFont="1" applyFill="1" applyBorder="1" applyAlignment="1">
      <alignment horizontal="center" vertical="top" shrinkToFit="1"/>
    </xf>
    <xf numFmtId="0" fontId="7" fillId="14" borderId="0" xfId="0" applyFont="1" applyFill="1" applyAlignment="1">
      <alignment horizontal="center" vertical="center" shrinkToFit="1"/>
    </xf>
    <xf numFmtId="0" fontId="6" fillId="13" borderId="0" xfId="0" applyFont="1" applyFill="1" applyAlignment="1">
      <alignment horizontal="center" vertical="center" shrinkToFit="1"/>
    </xf>
    <xf numFmtId="0" fontId="0" fillId="0" borderId="2" xfId="0" applyBorder="1">
      <alignment vertical="center"/>
    </xf>
    <xf numFmtId="0" fontId="0" fillId="2" borderId="4" xfId="0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wrapText="1"/>
    </xf>
    <xf numFmtId="176" fontId="15" fillId="2" borderId="6" xfId="0" applyNumberFormat="1" applyFont="1" applyFill="1" applyBorder="1" applyAlignment="1">
      <alignment horizontal="center" vertical="center" wrapText="1"/>
    </xf>
    <xf numFmtId="176" fontId="26" fillId="2" borderId="7" xfId="0" applyNumberFormat="1" applyFont="1" applyFill="1" applyBorder="1" applyAlignment="1">
      <alignment horizontal="center" vertical="center" wrapText="1"/>
    </xf>
    <xf numFmtId="176" fontId="15" fillId="2" borderId="6" xfId="0" applyNumberFormat="1" applyFont="1" applyFill="1" applyBorder="1" applyAlignment="1">
      <alignment horizontal="center" vertical="center"/>
    </xf>
    <xf numFmtId="176" fontId="25" fillId="2" borderId="7" xfId="0" applyNumberFormat="1" applyFont="1" applyFill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7" xfId="0" applyNumberFormat="1" applyFont="1" applyBorder="1" applyAlignment="1">
      <alignment horizontal="center" vertical="center"/>
    </xf>
    <xf numFmtId="176" fontId="9" fillId="0" borderId="16" xfId="0" applyNumberFormat="1" applyFont="1" applyBorder="1" applyAlignment="1">
      <alignment horizontal="center" vertical="center" shrinkToFit="1"/>
    </xf>
    <xf numFmtId="176" fontId="13" fillId="0" borderId="7" xfId="0" applyNumberFormat="1" applyFont="1" applyBorder="1" applyAlignment="1">
      <alignment horizontal="center" vertical="center" shrinkToFit="1"/>
    </xf>
    <xf numFmtId="176" fontId="13" fillId="0" borderId="20" xfId="0" applyNumberFormat="1" applyFont="1" applyBorder="1" applyAlignment="1">
      <alignment horizontal="center" vertical="center" shrinkToFit="1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30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1" fontId="0" fillId="0" borderId="1" xfId="0" applyNumberFormat="1" applyBorder="1" applyAlignment="1">
      <alignment horizontal="center" vertical="center" shrinkToFit="1"/>
    </xf>
    <xf numFmtId="1" fontId="0" fillId="0" borderId="7" xfId="0" applyNumberFormat="1" applyBorder="1" applyAlignment="1">
      <alignment horizontal="center" vertical="center" shrinkToFit="1"/>
    </xf>
    <xf numFmtId="0" fontId="0" fillId="0" borderId="80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75" xfId="0" applyBorder="1" applyAlignment="1">
      <alignment horizontal="center" vertical="center" shrinkToFit="1"/>
    </xf>
    <xf numFmtId="0" fontId="0" fillId="0" borderId="76" xfId="0" applyBorder="1" applyAlignment="1">
      <alignment horizontal="center" vertical="center" shrinkToFit="1"/>
    </xf>
    <xf numFmtId="0" fontId="0" fillId="0" borderId="77" xfId="0" applyBorder="1" applyAlignment="1">
      <alignment horizontal="center" vertical="center" shrinkToFit="1"/>
    </xf>
    <xf numFmtId="0" fontId="0" fillId="0" borderId="116" xfId="0" applyBorder="1" applyAlignment="1">
      <alignment horizontal="center" vertical="center" shrinkToFit="1"/>
    </xf>
    <xf numFmtId="1" fontId="0" fillId="0" borderId="9" xfId="0" applyNumberForma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shrinkToFit="1"/>
    </xf>
    <xf numFmtId="1" fontId="29" fillId="0" borderId="9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29" fillId="0" borderId="9" xfId="0" applyFont="1" applyBorder="1" applyAlignment="1">
      <alignment horizontal="center" vertical="center" shrinkToFit="1"/>
    </xf>
    <xf numFmtId="0" fontId="29" fillId="0" borderId="1" xfId="0" applyFont="1" applyBorder="1" applyAlignment="1">
      <alignment vertical="center" shrinkToFit="1"/>
    </xf>
    <xf numFmtId="0" fontId="29" fillId="0" borderId="7" xfId="0" applyFont="1" applyBorder="1" applyAlignment="1">
      <alignment vertical="center" shrinkToFit="1"/>
    </xf>
    <xf numFmtId="1" fontId="29" fillId="0" borderId="7" xfId="0" applyNumberFormat="1" applyFont="1" applyBorder="1" applyAlignment="1">
      <alignment vertical="center" shrinkToFit="1"/>
    </xf>
    <xf numFmtId="0" fontId="29" fillId="0" borderId="6" xfId="0" applyFont="1" applyBorder="1" applyAlignment="1">
      <alignment vertical="center" shrinkToFit="1"/>
    </xf>
    <xf numFmtId="0" fontId="29" fillId="0" borderId="18" xfId="0" applyFont="1" applyBorder="1" applyAlignment="1">
      <alignment vertical="center" shrinkToFit="1"/>
    </xf>
    <xf numFmtId="0" fontId="29" fillId="0" borderId="20" xfId="0" applyFont="1" applyBorder="1" applyAlignment="1">
      <alignment vertical="center" shrinkToFit="1"/>
    </xf>
    <xf numFmtId="0" fontId="29" fillId="14" borderId="30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29" fillId="14" borderId="9" xfId="0" applyFont="1" applyFill="1" applyBorder="1" applyAlignment="1">
      <alignment horizontal="center" vertical="center"/>
    </xf>
    <xf numFmtId="0" fontId="29" fillId="14" borderId="19" xfId="0" applyFont="1" applyFill="1" applyBorder="1" applyAlignment="1">
      <alignment horizontal="center" vertical="center"/>
    </xf>
    <xf numFmtId="0" fontId="29" fillId="14" borderId="10" xfId="0" applyFont="1" applyFill="1" applyBorder="1" applyAlignment="1">
      <alignment horizontal="center" vertical="center"/>
    </xf>
    <xf numFmtId="0" fontId="0" fillId="14" borderId="3" xfId="0" applyFill="1" applyBorder="1">
      <alignment vertical="center"/>
    </xf>
    <xf numFmtId="0" fontId="0" fillId="14" borderId="4" xfId="0" applyFill="1" applyBorder="1">
      <alignment vertical="center"/>
    </xf>
    <xf numFmtId="0" fontId="0" fillId="14" borderId="11" xfId="0" applyFill="1" applyBorder="1">
      <alignment vertical="center"/>
    </xf>
    <xf numFmtId="0" fontId="29" fillId="4" borderId="1" xfId="0" applyFont="1" applyFill="1" applyBorder="1" applyAlignment="1">
      <alignment horizontal="center" vertical="center" shrinkToFit="1"/>
    </xf>
    <xf numFmtId="0" fontId="0" fillId="15" borderId="76" xfId="0" applyFill="1" applyBorder="1" applyAlignment="1">
      <alignment horizontal="center" vertical="center" shrinkToFit="1"/>
    </xf>
    <xf numFmtId="1" fontId="29" fillId="15" borderId="1" xfId="0" applyNumberFormat="1" applyFont="1" applyFill="1" applyBorder="1" applyAlignment="1">
      <alignment horizontal="center" vertical="center" shrinkToFit="1"/>
    </xf>
    <xf numFmtId="1" fontId="0" fillId="15" borderId="9" xfId="0" applyNumberFormat="1" applyFill="1" applyBorder="1" applyAlignment="1">
      <alignment horizontal="center" vertical="center" shrinkToFit="1"/>
    </xf>
    <xf numFmtId="1" fontId="29" fillId="15" borderId="9" xfId="0" applyNumberFormat="1" applyFont="1" applyFill="1" applyBorder="1" applyAlignment="1">
      <alignment horizontal="center" vertical="center" shrinkToFit="1"/>
    </xf>
    <xf numFmtId="1" fontId="29" fillId="4" borderId="10" xfId="0" applyNumberFormat="1" applyFont="1" applyFill="1" applyBorder="1" applyAlignment="1">
      <alignment horizontal="center" vertical="center" shrinkToFit="1"/>
    </xf>
    <xf numFmtId="1" fontId="0" fillId="15" borderId="1" xfId="0" applyNumberFormat="1" applyFill="1" applyBorder="1" applyAlignment="1">
      <alignment horizontal="center" vertical="center" shrinkToFit="1"/>
    </xf>
    <xf numFmtId="0" fontId="29" fillId="15" borderId="9" xfId="0" applyFont="1" applyFill="1" applyBorder="1" applyAlignment="1">
      <alignment horizontal="center" vertical="center" shrinkToFit="1"/>
    </xf>
    <xf numFmtId="1" fontId="29" fillId="15" borderId="67" xfId="0" applyNumberFormat="1" applyFont="1" applyFill="1" applyBorder="1" applyAlignment="1">
      <alignment horizontal="center" vertical="center" shrinkToFit="1"/>
    </xf>
    <xf numFmtId="0" fontId="29" fillId="4" borderId="1" xfId="0" applyFont="1" applyFill="1" applyBorder="1" applyAlignment="1">
      <alignment vertical="center" shrinkToFit="1"/>
    </xf>
    <xf numFmtId="0" fontId="29" fillId="4" borderId="9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15" borderId="10" xfId="0" applyFont="1" applyFill="1" applyBorder="1" applyAlignment="1">
      <alignment horizontal="center" vertical="center" shrinkToFit="1"/>
    </xf>
    <xf numFmtId="0" fontId="29" fillId="15" borderId="19" xfId="0" applyFont="1" applyFill="1" applyBorder="1" applyAlignment="1">
      <alignment horizontal="center" vertical="center"/>
    </xf>
    <xf numFmtId="1" fontId="0" fillId="15" borderId="76" xfId="0" applyNumberFormat="1" applyFill="1" applyBorder="1" applyAlignment="1">
      <alignment horizontal="center" vertical="center" shrinkToFit="1"/>
    </xf>
    <xf numFmtId="0" fontId="7" fillId="15" borderId="0" xfId="0" applyFont="1" applyFill="1" applyAlignment="1">
      <alignment horizontal="center" vertical="center" shrinkToFit="1"/>
    </xf>
    <xf numFmtId="0" fontId="0" fillId="4" borderId="0" xfId="0" applyFill="1" applyAlignment="1">
      <alignment vertical="center" shrinkToFit="1"/>
    </xf>
    <xf numFmtId="0" fontId="0" fillId="2" borderId="82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2" borderId="133" xfId="0" applyFill="1" applyBorder="1" applyAlignment="1">
      <alignment horizontal="center" vertical="center" shrinkToFit="1"/>
    </xf>
    <xf numFmtId="0" fontId="0" fillId="2" borderId="85" xfId="0" applyFill="1" applyBorder="1" applyAlignment="1">
      <alignment horizontal="center" vertical="center" shrinkToFit="1"/>
    </xf>
    <xf numFmtId="0" fontId="0" fillId="2" borderId="134" xfId="0" applyFill="1" applyBorder="1" applyAlignment="1">
      <alignment horizontal="center" vertical="center" shrinkToFit="1"/>
    </xf>
    <xf numFmtId="0" fontId="31" fillId="6" borderId="135" xfId="0" applyFont="1" applyFill="1" applyBorder="1" applyAlignment="1">
      <alignment horizontal="center" vertical="center"/>
    </xf>
    <xf numFmtId="0" fontId="31" fillId="6" borderId="136" xfId="0" applyFont="1" applyFill="1" applyBorder="1" applyAlignment="1">
      <alignment horizontal="center" vertical="center"/>
    </xf>
    <xf numFmtId="0" fontId="31" fillId="9" borderId="137" xfId="0" applyFont="1" applyFill="1" applyBorder="1" applyAlignment="1">
      <alignment horizontal="center" vertical="center"/>
    </xf>
    <xf numFmtId="0" fontId="31" fillId="6" borderId="137" xfId="0" applyFont="1" applyFill="1" applyBorder="1" applyAlignment="1">
      <alignment horizontal="center" vertical="center"/>
    </xf>
    <xf numFmtId="0" fontId="31" fillId="6" borderId="138" xfId="0" applyFont="1" applyFill="1" applyBorder="1" applyAlignment="1">
      <alignment horizontal="center" vertical="center"/>
    </xf>
    <xf numFmtId="0" fontId="31" fillId="12" borderId="136" xfId="0" applyFont="1" applyFill="1" applyBorder="1" applyAlignment="1">
      <alignment horizontal="center" vertical="center"/>
    </xf>
    <xf numFmtId="0" fontId="31" fillId="12" borderId="139" xfId="0" applyFont="1" applyFill="1" applyBorder="1" applyAlignment="1">
      <alignment horizontal="center" vertical="center"/>
    </xf>
    <xf numFmtId="0" fontId="31" fillId="6" borderId="140" xfId="0" applyFont="1" applyFill="1" applyBorder="1" applyAlignment="1">
      <alignment horizontal="center" vertical="center"/>
    </xf>
    <xf numFmtId="0" fontId="31" fillId="9" borderId="140" xfId="0" applyFont="1" applyFill="1" applyBorder="1" applyAlignment="1">
      <alignment horizontal="center" vertical="center"/>
    </xf>
    <xf numFmtId="0" fontId="31" fillId="6" borderId="141" xfId="0" applyFont="1" applyFill="1" applyBorder="1" applyAlignment="1">
      <alignment horizontal="center" vertical="center"/>
    </xf>
    <xf numFmtId="0" fontId="31" fillId="6" borderId="142" xfId="0" applyFont="1" applyFill="1" applyBorder="1" applyAlignment="1">
      <alignment horizontal="center" vertical="center"/>
    </xf>
    <xf numFmtId="0" fontId="31" fillId="6" borderId="143" xfId="0" applyFont="1" applyFill="1" applyBorder="1" applyAlignment="1">
      <alignment horizontal="center" vertical="center"/>
    </xf>
    <xf numFmtId="0" fontId="31" fillId="9" borderId="143" xfId="0" applyFont="1" applyFill="1" applyBorder="1" applyAlignment="1">
      <alignment horizontal="center" vertical="center"/>
    </xf>
    <xf numFmtId="0" fontId="31" fillId="12" borderId="137" xfId="0" applyFont="1" applyFill="1" applyBorder="1" applyAlignment="1">
      <alignment horizontal="center" vertical="center"/>
    </xf>
    <xf numFmtId="178" fontId="12" fillId="0" borderId="0" xfId="0" applyNumberFormat="1" applyFont="1" applyAlignment="1">
      <alignment vertical="center" shrinkToFit="1"/>
    </xf>
    <xf numFmtId="178" fontId="0" fillId="0" borderId="0" xfId="0" applyNumberFormat="1" applyAlignment="1">
      <alignment vertical="center" shrinkToFit="1"/>
    </xf>
    <xf numFmtId="176" fontId="9" fillId="0" borderId="18" xfId="0" applyNumberFormat="1" applyFont="1" applyBorder="1" applyAlignment="1">
      <alignment horizontal="center" vertical="center" shrinkToFit="1"/>
    </xf>
    <xf numFmtId="176" fontId="9" fillId="0" borderId="19" xfId="0" applyNumberFormat="1" applyFont="1" applyBorder="1" applyAlignment="1">
      <alignment horizontal="center" vertical="center" shrinkToFit="1"/>
    </xf>
    <xf numFmtId="176" fontId="9" fillId="0" borderId="21" xfId="0" applyNumberFormat="1" applyFont="1" applyBorder="1" applyAlignment="1">
      <alignment horizontal="center" vertical="center" shrinkToFit="1"/>
    </xf>
    <xf numFmtId="176" fontId="9" fillId="0" borderId="20" xfId="0" applyNumberFormat="1" applyFont="1" applyBorder="1" applyAlignment="1">
      <alignment horizontal="center" vertical="center" shrinkToFit="1"/>
    </xf>
    <xf numFmtId="178" fontId="0" fillId="0" borderId="0" xfId="3" applyNumberFormat="1" applyFont="1">
      <alignment vertical="center"/>
    </xf>
    <xf numFmtId="1" fontId="29" fillId="13" borderId="9" xfId="0" applyNumberFormat="1" applyFont="1" applyFill="1" applyBorder="1" applyAlignment="1">
      <alignment horizontal="center" vertical="center" shrinkToFit="1"/>
    </xf>
    <xf numFmtId="1" fontId="0" fillId="13" borderId="9" xfId="0" applyNumberFormat="1" applyFill="1" applyBorder="1" applyAlignment="1">
      <alignment horizontal="center" vertical="center" shrinkToFit="1"/>
    </xf>
    <xf numFmtId="1" fontId="29" fillId="13" borderId="7" xfId="0" applyNumberFormat="1" applyFont="1" applyFill="1" applyBorder="1" applyAlignment="1">
      <alignment horizontal="center" vertical="center" shrinkToFit="1"/>
    </xf>
    <xf numFmtId="1" fontId="29" fillId="13" borderId="1" xfId="0" applyNumberFormat="1" applyFont="1" applyFill="1" applyBorder="1" applyAlignment="1">
      <alignment horizontal="center" vertical="center" shrinkToFit="1"/>
    </xf>
    <xf numFmtId="1" fontId="29" fillId="17" borderId="1" xfId="0" applyNumberFormat="1" applyFont="1" applyFill="1" applyBorder="1" applyAlignment="1">
      <alignment horizontal="center" vertical="center" shrinkToFit="1"/>
    </xf>
    <xf numFmtId="1" fontId="29" fillId="17" borderId="9" xfId="0" applyNumberFormat="1" applyFont="1" applyFill="1" applyBorder="1" applyAlignment="1">
      <alignment horizontal="center" vertical="center" shrinkToFit="1"/>
    </xf>
    <xf numFmtId="1" fontId="29" fillId="17" borderId="7" xfId="0" applyNumberFormat="1" applyFont="1" applyFill="1" applyBorder="1" applyAlignment="1">
      <alignment horizontal="center" vertical="center" shrinkToFit="1"/>
    </xf>
    <xf numFmtId="0" fontId="6" fillId="17" borderId="0" xfId="0" applyFont="1" applyFill="1" applyAlignment="1">
      <alignment horizontal="center" vertical="center" shrinkToFit="1"/>
    </xf>
    <xf numFmtId="1" fontId="0" fillId="17" borderId="9" xfId="0" applyNumberFormat="1" applyFill="1" applyBorder="1" applyAlignment="1">
      <alignment horizontal="center" vertical="center" shrinkToFit="1"/>
    </xf>
    <xf numFmtId="1" fontId="0" fillId="17" borderId="1" xfId="0" applyNumberFormat="1" applyFill="1" applyBorder="1" applyAlignment="1">
      <alignment horizontal="center" vertical="center" shrinkToFit="1"/>
    </xf>
    <xf numFmtId="0" fontId="29" fillId="17" borderId="1" xfId="0" applyFont="1" applyFill="1" applyBorder="1" applyAlignment="1">
      <alignment horizontal="center" vertical="center" shrinkToFit="1"/>
    </xf>
    <xf numFmtId="0" fontId="0" fillId="17" borderId="1" xfId="0" applyFill="1" applyBorder="1" applyAlignment="1">
      <alignment horizontal="center" vertical="center" shrinkToFit="1"/>
    </xf>
    <xf numFmtId="0" fontId="29" fillId="17" borderId="14" xfId="0" applyFont="1" applyFill="1" applyBorder="1" applyAlignment="1">
      <alignment horizontal="center" vertical="center" shrinkToFit="1"/>
    </xf>
    <xf numFmtId="1" fontId="0" fillId="17" borderId="7" xfId="0" applyNumberFormat="1" applyFill="1" applyBorder="1" applyAlignment="1">
      <alignment horizontal="center" vertical="center" shrinkToFit="1"/>
    </xf>
    <xf numFmtId="1" fontId="29" fillId="17" borderId="6" xfId="0" applyNumberFormat="1" applyFont="1" applyFill="1" applyBorder="1" applyAlignment="1">
      <alignment vertical="center" shrinkToFit="1"/>
    </xf>
    <xf numFmtId="1" fontId="29" fillId="3" borderId="7" xfId="0" applyNumberFormat="1" applyFont="1" applyFill="1" applyBorder="1" applyAlignment="1">
      <alignment horizontal="center" vertical="center" shrinkToFit="1"/>
    </xf>
    <xf numFmtId="176" fontId="5" fillId="0" borderId="13" xfId="0" applyNumberFormat="1" applyFont="1" applyBorder="1" applyAlignment="1">
      <alignment horizontal="center" vertical="center" shrinkToFit="1"/>
    </xf>
    <xf numFmtId="176" fontId="5" fillId="0" borderId="11" xfId="0" applyNumberFormat="1" applyFont="1" applyBorder="1" applyAlignment="1">
      <alignment horizontal="center" vertical="center" shrinkToFit="1"/>
    </xf>
    <xf numFmtId="176" fontId="33" fillId="0" borderId="11" xfId="0" applyNumberFormat="1" applyFont="1" applyBorder="1" applyAlignment="1">
      <alignment horizontal="center" vertical="center" shrinkToFit="1"/>
    </xf>
    <xf numFmtId="176" fontId="33" fillId="0" borderId="33" xfId="0" applyNumberFormat="1" applyFont="1" applyBorder="1" applyAlignment="1">
      <alignment horizontal="center" vertical="center" shrinkToFit="1"/>
    </xf>
    <xf numFmtId="176" fontId="33" fillId="0" borderId="17" xfId="0" applyNumberFormat="1" applyFont="1" applyBorder="1" applyAlignment="1">
      <alignment horizontal="center" vertical="center" shrinkToFit="1"/>
    </xf>
    <xf numFmtId="176" fontId="5" fillId="0" borderId="17" xfId="0" applyNumberFormat="1" applyFont="1" applyBorder="1" applyAlignment="1">
      <alignment horizontal="center" vertical="center" shrinkToFit="1"/>
    </xf>
    <xf numFmtId="176" fontId="5" fillId="0" borderId="16" xfId="0" applyNumberFormat="1" applyFont="1" applyBorder="1" applyAlignment="1">
      <alignment horizontal="center" vertical="center" shrinkToFit="1"/>
    </xf>
    <xf numFmtId="0" fontId="34" fillId="0" borderId="6" xfId="0" applyFont="1" applyBorder="1" applyAlignment="1">
      <alignment horizontal="center" vertical="center" wrapText="1"/>
    </xf>
    <xf numFmtId="176" fontId="35" fillId="0" borderId="1" xfId="0" applyNumberFormat="1" applyFont="1" applyBorder="1" applyAlignment="1">
      <alignment horizontal="center" vertical="center"/>
    </xf>
    <xf numFmtId="176" fontId="36" fillId="0" borderId="1" xfId="0" applyNumberFormat="1" applyFont="1" applyBorder="1" applyAlignment="1">
      <alignment horizontal="center" vertical="center"/>
    </xf>
    <xf numFmtId="176" fontId="35" fillId="0" borderId="1" xfId="0" applyNumberFormat="1" applyFont="1" applyBorder="1" applyAlignment="1">
      <alignment horizontal="center" vertical="center" shrinkToFit="1"/>
    </xf>
    <xf numFmtId="176" fontId="35" fillId="0" borderId="34" xfId="0" applyNumberFormat="1" applyFont="1" applyBorder="1" applyAlignment="1">
      <alignment horizontal="center" vertical="center" shrinkToFit="1"/>
    </xf>
    <xf numFmtId="176" fontId="35" fillId="0" borderId="8" xfId="0" applyNumberFormat="1" applyFont="1" applyBorder="1" applyAlignment="1">
      <alignment horizontal="center" vertical="center" shrinkToFit="1"/>
    </xf>
    <xf numFmtId="176" fontId="36" fillId="0" borderId="1" xfId="0" applyNumberFormat="1" applyFont="1" applyBorder="1" applyAlignment="1">
      <alignment horizontal="center" vertical="center" shrinkToFit="1"/>
    </xf>
    <xf numFmtId="176" fontId="36" fillId="0" borderId="8" xfId="0" applyNumberFormat="1" applyFont="1" applyBorder="1" applyAlignment="1">
      <alignment horizontal="center" vertical="center"/>
    </xf>
    <xf numFmtId="176" fontId="35" fillId="0" borderId="7" xfId="0" applyNumberFormat="1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176" fontId="37" fillId="2" borderId="1" xfId="0" applyNumberFormat="1" applyFont="1" applyFill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 shrinkToFit="1"/>
    </xf>
    <xf numFmtId="176" fontId="8" fillId="0" borderId="11" xfId="0" applyNumberFormat="1" applyFont="1" applyBorder="1" applyAlignment="1">
      <alignment horizontal="center" vertical="center" shrinkToFit="1"/>
    </xf>
    <xf numFmtId="176" fontId="8" fillId="0" borderId="17" xfId="0" applyNumberFormat="1" applyFont="1" applyBorder="1" applyAlignment="1">
      <alignment horizontal="center" vertical="center" shrinkToFit="1"/>
    </xf>
    <xf numFmtId="176" fontId="8" fillId="0" borderId="37" xfId="0" applyNumberFormat="1" applyFont="1" applyBorder="1" applyAlignment="1">
      <alignment horizontal="center" vertical="center" shrinkToFit="1"/>
    </xf>
    <xf numFmtId="176" fontId="37" fillId="2" borderId="6" xfId="0" applyNumberFormat="1" applyFont="1" applyFill="1" applyBorder="1" applyAlignment="1">
      <alignment horizontal="center" vertical="center"/>
    </xf>
    <xf numFmtId="176" fontId="20" fillId="2" borderId="1" xfId="0" applyNumberFormat="1" applyFont="1" applyFill="1" applyBorder="1" applyAlignment="1">
      <alignment horizontal="center" vertical="center" wrapText="1"/>
    </xf>
    <xf numFmtId="176" fontId="37" fillId="2" borderId="1" xfId="0" applyNumberFormat="1" applyFont="1" applyFill="1" applyBorder="1" applyAlignment="1">
      <alignment horizontal="center" vertical="center" wrapText="1"/>
    </xf>
    <xf numFmtId="176" fontId="38" fillId="2" borderId="1" xfId="0" applyNumberFormat="1" applyFont="1" applyFill="1" applyBorder="1" applyAlignment="1">
      <alignment horizontal="center" vertical="center" wrapText="1"/>
    </xf>
    <xf numFmtId="176" fontId="20" fillId="2" borderId="9" xfId="0" applyNumberFormat="1" applyFont="1" applyFill="1" applyBorder="1" applyAlignment="1">
      <alignment horizontal="center" vertical="center" wrapText="1"/>
    </xf>
    <xf numFmtId="176" fontId="20" fillId="2" borderId="33" xfId="0" applyNumberFormat="1" applyFont="1" applyFill="1" applyBorder="1" applyAlignment="1">
      <alignment horizontal="center" vertical="center" wrapText="1"/>
    </xf>
    <xf numFmtId="176" fontId="20" fillId="2" borderId="8" xfId="0" applyNumberFormat="1" applyFont="1" applyFill="1" applyBorder="1" applyAlignment="1">
      <alignment horizontal="center" vertical="center" wrapText="1"/>
    </xf>
    <xf numFmtId="176" fontId="37" fillId="2" borderId="8" xfId="0" applyNumberFormat="1" applyFont="1" applyFill="1" applyBorder="1" applyAlignment="1">
      <alignment horizontal="center" vertical="center" wrapText="1"/>
    </xf>
    <xf numFmtId="176" fontId="20" fillId="2" borderId="38" xfId="0" applyNumberFormat="1" applyFont="1" applyFill="1" applyBorder="1" applyAlignment="1">
      <alignment horizontal="center" vertical="center" wrapText="1"/>
    </xf>
    <xf numFmtId="176" fontId="30" fillId="0" borderId="11" xfId="0" applyNumberFormat="1" applyFont="1" applyBorder="1" applyAlignment="1">
      <alignment horizontal="center" vertical="center" shrinkToFit="1"/>
    </xf>
    <xf numFmtId="176" fontId="30" fillId="0" borderId="33" xfId="0" applyNumberFormat="1" applyFont="1" applyBorder="1" applyAlignment="1">
      <alignment horizontal="center" vertical="center" shrinkToFit="1"/>
    </xf>
    <xf numFmtId="176" fontId="30" fillId="0" borderId="17" xfId="0" applyNumberFormat="1" applyFont="1" applyBorder="1" applyAlignment="1">
      <alignment horizontal="center" vertical="center" shrinkToFit="1"/>
    </xf>
    <xf numFmtId="176" fontId="8" fillId="0" borderId="16" xfId="0" applyNumberFormat="1" applyFont="1" applyBorder="1" applyAlignment="1">
      <alignment horizontal="center" vertical="center" shrinkToFit="1"/>
    </xf>
    <xf numFmtId="0" fontId="38" fillId="2" borderId="6" xfId="0" applyFont="1" applyFill="1" applyBorder="1" applyAlignment="1">
      <alignment horizontal="center" vertical="center" wrapText="1"/>
    </xf>
    <xf numFmtId="176" fontId="20" fillId="2" borderId="1" xfId="0" applyNumberFormat="1" applyFont="1" applyFill="1" applyBorder="1" applyAlignment="1">
      <alignment horizontal="center" vertical="center"/>
    </xf>
    <xf numFmtId="176" fontId="38" fillId="2" borderId="1" xfId="0" applyNumberFormat="1" applyFont="1" applyFill="1" applyBorder="1" applyAlignment="1">
      <alignment horizontal="center" vertical="center"/>
    </xf>
    <xf numFmtId="176" fontId="20" fillId="2" borderId="1" xfId="0" applyNumberFormat="1" applyFont="1" applyFill="1" applyBorder="1" applyAlignment="1">
      <alignment horizontal="center" vertical="center" shrinkToFit="1"/>
    </xf>
    <xf numFmtId="176" fontId="20" fillId="2" borderId="34" xfId="0" applyNumberFormat="1" applyFont="1" applyFill="1" applyBorder="1" applyAlignment="1">
      <alignment horizontal="center" vertical="center" shrinkToFit="1"/>
    </xf>
    <xf numFmtId="176" fontId="20" fillId="2" borderId="8" xfId="0" applyNumberFormat="1" applyFont="1" applyFill="1" applyBorder="1" applyAlignment="1">
      <alignment horizontal="center" vertical="center" shrinkToFit="1"/>
    </xf>
    <xf numFmtId="176" fontId="37" fillId="2" borderId="1" xfId="0" applyNumberFormat="1" applyFont="1" applyFill="1" applyBorder="1" applyAlignment="1">
      <alignment horizontal="center" vertical="center" shrinkToFit="1"/>
    </xf>
    <xf numFmtId="176" fontId="20" fillId="2" borderId="7" xfId="0" applyNumberFormat="1" applyFont="1" applyFill="1" applyBorder="1" applyAlignment="1">
      <alignment horizontal="center" vertical="center"/>
    </xf>
    <xf numFmtId="176" fontId="20" fillId="2" borderId="8" xfId="0" applyNumberFormat="1" applyFont="1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 shrinkToFit="1"/>
    </xf>
    <xf numFmtId="0" fontId="0" fillId="14" borderId="182" xfId="0" applyFill="1" applyBorder="1" applyAlignment="1">
      <alignment horizontal="center" vertical="center" shrinkToFit="1"/>
    </xf>
    <xf numFmtId="0" fontId="0" fillId="15" borderId="109" xfId="0" applyFill="1" applyBorder="1" applyAlignment="1">
      <alignment horizontal="center" vertical="center" shrinkToFit="1"/>
    </xf>
    <xf numFmtId="1" fontId="29" fillId="15" borderId="14" xfId="0" applyNumberFormat="1" applyFont="1" applyFill="1" applyBorder="1" applyAlignment="1">
      <alignment horizontal="center" vertical="center" shrinkToFit="1"/>
    </xf>
    <xf numFmtId="1" fontId="0" fillId="14" borderId="182" xfId="0" applyNumberFormat="1" applyFill="1" applyBorder="1" applyAlignment="1">
      <alignment horizontal="center" vertical="center" shrinkToFit="1"/>
    </xf>
    <xf numFmtId="1" fontId="0" fillId="15" borderId="182" xfId="0" applyNumberFormat="1" applyFill="1" applyBorder="1" applyAlignment="1">
      <alignment horizontal="center" vertical="center" shrinkToFit="1"/>
    </xf>
    <xf numFmtId="1" fontId="0" fillId="14" borderId="109" xfId="0" applyNumberFormat="1" applyFill="1" applyBorder="1" applyAlignment="1">
      <alignment horizontal="center" vertical="center" shrinkToFit="1"/>
    </xf>
    <xf numFmtId="1" fontId="29" fillId="13" borderId="14" xfId="0" applyNumberFormat="1" applyFont="1" applyFill="1" applyBorder="1" applyAlignment="1">
      <alignment horizontal="center" vertical="center" shrinkToFit="1"/>
    </xf>
    <xf numFmtId="1" fontId="29" fillId="14" borderId="14" xfId="0" applyNumberFormat="1" applyFont="1" applyFill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0" fillId="15" borderId="182" xfId="0" applyFill="1" applyBorder="1" applyAlignment="1">
      <alignment horizontal="center" vertical="center" shrinkToFit="1"/>
    </xf>
    <xf numFmtId="0" fontId="29" fillId="14" borderId="28" xfId="0" applyFont="1" applyFill="1" applyBorder="1" applyAlignment="1">
      <alignment horizontal="center" vertical="center" shrinkToFit="1"/>
    </xf>
    <xf numFmtId="0" fontId="29" fillId="15" borderId="1" xfId="0" applyFont="1" applyFill="1" applyBorder="1" applyAlignment="1">
      <alignment horizontal="center" vertical="center" shrinkToFit="1"/>
    </xf>
    <xf numFmtId="1" fontId="0" fillId="14" borderId="183" xfId="0" applyNumberFormat="1" applyFill="1" applyBorder="1" applyAlignment="1">
      <alignment horizontal="center" vertical="center" shrinkToFit="1"/>
    </xf>
    <xf numFmtId="1" fontId="29" fillId="14" borderId="11" xfId="0" applyNumberFormat="1" applyFont="1" applyFill="1" applyBorder="1" applyAlignment="1">
      <alignment horizontal="center" vertical="center" shrinkToFit="1"/>
    </xf>
    <xf numFmtId="0" fontId="0" fillId="15" borderId="14" xfId="0" applyFill="1" applyBorder="1" applyAlignment="1">
      <alignment horizontal="center" vertical="center" shrinkToFit="1"/>
    </xf>
    <xf numFmtId="0" fontId="0" fillId="15" borderId="9" xfId="0" applyFill="1" applyBorder="1" applyAlignment="1">
      <alignment horizontal="center" vertical="center" shrinkToFit="1"/>
    </xf>
    <xf numFmtId="0" fontId="0" fillId="15" borderId="1" xfId="0" applyFill="1" applyBorder="1" applyAlignment="1">
      <alignment horizontal="center" vertical="center" shrinkToFit="1"/>
    </xf>
    <xf numFmtId="0" fontId="0" fillId="15" borderId="67" xfId="0" applyFill="1" applyBorder="1" applyAlignment="1">
      <alignment horizontal="center" vertical="center" shrinkToFit="1"/>
    </xf>
    <xf numFmtId="0" fontId="0" fillId="15" borderId="7" xfId="0" applyFill="1" applyBorder="1" applyAlignment="1">
      <alignment horizontal="center" vertical="center" shrinkToFit="1"/>
    </xf>
    <xf numFmtId="0" fontId="29" fillId="15" borderId="7" xfId="0" applyFont="1" applyFill="1" applyBorder="1" applyAlignment="1">
      <alignment horizontal="center" vertical="center" shrinkToFit="1"/>
    </xf>
    <xf numFmtId="0" fontId="29" fillId="15" borderId="14" xfId="0" applyFont="1" applyFill="1" applyBorder="1" applyAlignment="1">
      <alignment horizontal="center" vertical="center" shrinkToFit="1"/>
    </xf>
    <xf numFmtId="0" fontId="29" fillId="15" borderId="67" xfId="0" applyFont="1" applyFill="1" applyBorder="1" applyAlignment="1">
      <alignment horizontal="center" vertical="center" shrinkToFit="1"/>
    </xf>
    <xf numFmtId="0" fontId="29" fillId="15" borderId="28" xfId="0" applyFont="1" applyFill="1" applyBorder="1" applyAlignment="1">
      <alignment horizontal="center" vertical="center" shrinkToFit="1"/>
    </xf>
    <xf numFmtId="0" fontId="6" fillId="15" borderId="0" xfId="0" applyFont="1" applyFill="1" applyAlignment="1">
      <alignment horizontal="center" vertical="center" shrinkToFit="1"/>
    </xf>
    <xf numFmtId="0" fontId="29" fillId="15" borderId="1" xfId="0" applyFont="1" applyFill="1" applyBorder="1" applyAlignment="1">
      <alignment horizontal="center" vertical="center"/>
    </xf>
    <xf numFmtId="1" fontId="0" fillId="15" borderId="6" xfId="0" applyNumberFormat="1" applyFill="1" applyBorder="1" applyAlignment="1">
      <alignment horizontal="center" vertical="center" shrinkToFit="1"/>
    </xf>
    <xf numFmtId="1" fontId="0" fillId="15" borderId="67" xfId="0" applyNumberFormat="1" applyFill="1" applyBorder="1" applyAlignment="1">
      <alignment horizontal="center" vertical="center" shrinkToFit="1"/>
    </xf>
    <xf numFmtId="1" fontId="29" fillId="15" borderId="6" xfId="0" applyNumberFormat="1" applyFont="1" applyFill="1" applyBorder="1" applyAlignment="1">
      <alignment horizontal="center" vertical="center" shrinkToFit="1"/>
    </xf>
    <xf numFmtId="1" fontId="29" fillId="15" borderId="28" xfId="0" applyNumberFormat="1" applyFont="1" applyFill="1" applyBorder="1" applyAlignment="1">
      <alignment horizontal="center" vertical="center" shrinkToFit="1"/>
    </xf>
    <xf numFmtId="1" fontId="29" fillId="15" borderId="11" xfId="0" applyNumberFormat="1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1" fontId="29" fillId="17" borderId="14" xfId="0" applyNumberFormat="1" applyFont="1" applyFill="1" applyBorder="1" applyAlignment="1">
      <alignment horizontal="center" vertical="center" shrinkToFit="1"/>
    </xf>
    <xf numFmtId="1" fontId="0" fillId="14" borderId="67" xfId="0" applyNumberFormat="1" applyFill="1" applyBorder="1" applyAlignment="1">
      <alignment horizontal="center" vertical="center" shrinkToFit="1"/>
    </xf>
    <xf numFmtId="0" fontId="0" fillId="14" borderId="187" xfId="0" applyFill="1" applyBorder="1" applyAlignment="1">
      <alignment horizontal="center" vertical="center" shrinkToFit="1"/>
    </xf>
    <xf numFmtId="1" fontId="29" fillId="15" borderId="8" xfId="0" applyNumberFormat="1" applyFont="1" applyFill="1" applyBorder="1" applyAlignment="1">
      <alignment horizontal="center" vertical="center" shrinkToFit="1"/>
    </xf>
    <xf numFmtId="0" fontId="29" fillId="15" borderId="29" xfId="0" applyFont="1" applyFill="1" applyBorder="1" applyAlignment="1">
      <alignment horizontal="center" vertical="center" shrinkToFit="1"/>
    </xf>
    <xf numFmtId="1" fontId="29" fillId="14" borderId="8" xfId="0" applyNumberFormat="1" applyFont="1" applyFill="1" applyBorder="1" applyAlignment="1">
      <alignment horizontal="center" vertical="center" shrinkToFit="1"/>
    </xf>
    <xf numFmtId="1" fontId="29" fillId="15" borderId="85" xfId="0" applyNumberFormat="1" applyFont="1" applyFill="1" applyBorder="1" applyAlignment="1">
      <alignment horizontal="center" vertical="center" shrinkToFit="1"/>
    </xf>
    <xf numFmtId="0" fontId="0" fillId="13" borderId="9" xfId="0" applyFill="1" applyBorder="1" applyAlignment="1">
      <alignment horizontal="center" vertical="center" shrinkToFit="1"/>
    </xf>
    <xf numFmtId="0" fontId="29" fillId="17" borderId="1" xfId="0" applyFont="1" applyFill="1" applyBorder="1" applyAlignment="1">
      <alignment horizontal="center" vertical="center"/>
    </xf>
    <xf numFmtId="0" fontId="29" fillId="17" borderId="9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 shrinkToFit="1"/>
    </xf>
    <xf numFmtId="0" fontId="29" fillId="14" borderId="8" xfId="0" applyFont="1" applyFill="1" applyBorder="1" applyAlignment="1">
      <alignment horizontal="center" vertical="center" shrinkToFit="1"/>
    </xf>
    <xf numFmtId="1" fontId="0" fillId="14" borderId="188" xfId="0" applyNumberFormat="1" applyFill="1" applyBorder="1" applyAlignment="1">
      <alignment horizontal="center" vertical="center" shrinkToFit="1"/>
    </xf>
    <xf numFmtId="1" fontId="29" fillId="15" borderId="29" xfId="0" applyNumberFormat="1" applyFont="1" applyFill="1" applyBorder="1" applyAlignment="1">
      <alignment horizontal="center" vertical="center" shrinkToFit="1"/>
    </xf>
    <xf numFmtId="1" fontId="0" fillId="14" borderId="10" xfId="0" applyNumberFormat="1" applyFill="1" applyBorder="1" applyAlignment="1">
      <alignment horizontal="center" vertical="center" shrinkToFit="1"/>
    </xf>
    <xf numFmtId="1" fontId="0" fillId="15" borderId="29" xfId="0" applyNumberFormat="1" applyFill="1" applyBorder="1" applyAlignment="1">
      <alignment horizontal="center" vertical="center" shrinkToFit="1"/>
    </xf>
    <xf numFmtId="1" fontId="0" fillId="15" borderId="14" xfId="0" applyNumberFormat="1" applyFill="1" applyBorder="1" applyAlignment="1">
      <alignment horizontal="center" vertical="center" shrinkToFit="1"/>
    </xf>
    <xf numFmtId="1" fontId="29" fillId="13" borderId="82" xfId="0" applyNumberFormat="1" applyFont="1" applyFill="1" applyBorder="1" applyAlignment="1">
      <alignment horizontal="center" vertical="center" shrinkToFit="1"/>
    </xf>
    <xf numFmtId="1" fontId="0" fillId="14" borderId="189" xfId="0" applyNumberFormat="1" applyFill="1" applyBorder="1" applyAlignment="1">
      <alignment horizontal="center" vertical="center" shrinkToFit="1"/>
    </xf>
    <xf numFmtId="1" fontId="0" fillId="14" borderId="30" xfId="0" applyNumberFormat="1" applyFill="1" applyBorder="1" applyAlignment="1">
      <alignment horizontal="center" vertical="center" shrinkToFit="1"/>
    </xf>
    <xf numFmtId="1" fontId="0" fillId="14" borderId="8" xfId="0" applyNumberFormat="1" applyFill="1" applyBorder="1" applyAlignment="1">
      <alignment horizontal="center" vertical="center" shrinkToFit="1"/>
    </xf>
    <xf numFmtId="1" fontId="0" fillId="15" borderId="11" xfId="0" applyNumberFormat="1" applyFill="1" applyBorder="1" applyAlignment="1">
      <alignment horizontal="center" vertical="center" shrinkToFit="1"/>
    </xf>
    <xf numFmtId="1" fontId="0" fillId="14" borderId="190" xfId="0" applyNumberFormat="1" applyFill="1" applyBorder="1" applyAlignment="1">
      <alignment horizontal="center" vertical="center" shrinkToFit="1"/>
    </xf>
    <xf numFmtId="1" fontId="0" fillId="15" borderId="10" xfId="0" applyNumberFormat="1" applyFill="1" applyBorder="1" applyAlignment="1">
      <alignment horizontal="center" vertical="center" shrinkToFit="1"/>
    </xf>
    <xf numFmtId="1" fontId="0" fillId="15" borderId="188" xfId="0" applyNumberForma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29" fillId="14" borderId="1" xfId="0" applyFont="1" applyFill="1" applyBorder="1" applyAlignment="1">
      <alignment vertical="center" shrinkToFit="1"/>
    </xf>
    <xf numFmtId="0" fontId="29" fillId="14" borderId="19" xfId="0" applyFont="1" applyFill="1" applyBorder="1" applyAlignment="1">
      <alignment horizontal="center" vertical="center" shrinkToFit="1"/>
    </xf>
    <xf numFmtId="0" fontId="31" fillId="6" borderId="116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/>
    </xf>
    <xf numFmtId="0" fontId="31" fillId="6" borderId="117" xfId="0" applyFont="1" applyFill="1" applyBorder="1" applyAlignment="1">
      <alignment horizontal="center" vertical="center"/>
    </xf>
    <xf numFmtId="0" fontId="4" fillId="0" borderId="117" xfId="0" applyFont="1" applyBorder="1" applyAlignment="1">
      <alignment horizontal="center" vertical="center" shrinkToFit="1"/>
    </xf>
    <xf numFmtId="0" fontId="9" fillId="2" borderId="191" xfId="0" applyFont="1" applyFill="1" applyBorder="1" applyAlignment="1">
      <alignment horizontal="center" vertical="center" wrapText="1"/>
    </xf>
    <xf numFmtId="176" fontId="8" fillId="2" borderId="191" xfId="0" applyNumberFormat="1" applyFont="1" applyFill="1" applyBorder="1" applyAlignment="1">
      <alignment horizontal="center" vertical="center" wrapText="1"/>
    </xf>
    <xf numFmtId="0" fontId="20" fillId="2" borderId="191" xfId="0" applyFont="1" applyFill="1" applyBorder="1" applyAlignment="1">
      <alignment horizontal="center" vertical="center"/>
    </xf>
    <xf numFmtId="0" fontId="4" fillId="0" borderId="191" xfId="0" applyFont="1" applyBorder="1" applyAlignment="1">
      <alignment horizontal="center" vertical="center" wrapText="1"/>
    </xf>
    <xf numFmtId="176" fontId="9" fillId="0" borderId="191" xfId="0" applyNumberFormat="1" applyFont="1" applyBorder="1" applyAlignment="1">
      <alignment horizontal="center" vertical="center" shrinkToFit="1"/>
    </xf>
    <xf numFmtId="176" fontId="14" fillId="0" borderId="191" xfId="0" applyNumberFormat="1" applyFont="1" applyBorder="1" applyAlignment="1">
      <alignment horizontal="center" vertical="center" shrinkToFit="1"/>
    </xf>
    <xf numFmtId="176" fontId="14" fillId="0" borderId="193" xfId="0" applyNumberFormat="1" applyFont="1" applyBorder="1" applyAlignment="1">
      <alignment horizontal="center" vertical="center" shrinkToFit="1"/>
    </xf>
    <xf numFmtId="0" fontId="0" fillId="0" borderId="136" xfId="0" applyBorder="1" applyAlignment="1">
      <alignment horizontal="center" vertical="center"/>
    </xf>
    <xf numFmtId="0" fontId="0" fillId="2" borderId="194" xfId="0" applyFill="1" applyBorder="1" applyAlignment="1">
      <alignment horizontal="center" vertical="center" shrinkToFit="1"/>
    </xf>
    <xf numFmtId="0" fontId="9" fillId="18" borderId="120" xfId="0" applyFont="1" applyFill="1" applyBorder="1" applyAlignment="1">
      <alignment horizontal="center" vertical="center" shrinkToFit="1"/>
    </xf>
    <xf numFmtId="0" fontId="9" fillId="18" borderId="195" xfId="0" applyFont="1" applyFill="1" applyBorder="1" applyAlignment="1">
      <alignment horizontal="center" vertical="center" shrinkToFit="1"/>
    </xf>
    <xf numFmtId="0" fontId="9" fillId="18" borderId="197" xfId="0" applyFont="1" applyFill="1" applyBorder="1" applyAlignment="1">
      <alignment horizontal="center" vertical="center" shrinkToFit="1"/>
    </xf>
    <xf numFmtId="0" fontId="9" fillId="0" borderId="196" xfId="0" applyFont="1" applyBorder="1" applyAlignment="1">
      <alignment horizontal="center" vertical="center" shrinkToFit="1"/>
    </xf>
    <xf numFmtId="0" fontId="24" fillId="6" borderId="196" xfId="0" applyFont="1" applyFill="1" applyBorder="1" applyAlignment="1">
      <alignment horizontal="center" vertical="center" shrinkToFit="1"/>
    </xf>
    <xf numFmtId="0" fontId="29" fillId="0" borderId="193" xfId="0" applyFont="1" applyBorder="1" applyAlignment="1">
      <alignment horizontal="center" vertical="center" shrinkToFit="1"/>
    </xf>
    <xf numFmtId="0" fontId="24" fillId="6" borderId="198" xfId="0" applyFont="1" applyFill="1" applyBorder="1" applyAlignment="1">
      <alignment horizontal="center" vertical="center" shrinkToFit="1"/>
    </xf>
    <xf numFmtId="0" fontId="24" fillId="6" borderId="115" xfId="0" applyFont="1" applyFill="1" applyBorder="1" applyAlignment="1">
      <alignment horizontal="center" vertical="center" shrinkToFit="1"/>
    </xf>
    <xf numFmtId="0" fontId="29" fillId="0" borderId="21" xfId="0" applyFont="1" applyBorder="1" applyAlignment="1">
      <alignment horizontal="center" vertical="center" shrinkToFit="1"/>
    </xf>
    <xf numFmtId="0" fontId="4" fillId="0" borderId="69" xfId="0" applyFont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wrapText="1"/>
    </xf>
    <xf numFmtId="176" fontId="8" fillId="2" borderId="8" xfId="0" applyNumberFormat="1" applyFont="1" applyFill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shrinkToFit="1"/>
    </xf>
    <xf numFmtId="0" fontId="29" fillId="14" borderId="10" xfId="0" applyFont="1" applyFill="1" applyBorder="1" applyAlignment="1">
      <alignment horizontal="center" vertical="center" shrinkToFit="1"/>
    </xf>
    <xf numFmtId="0" fontId="9" fillId="0" borderId="195" xfId="0" applyFont="1" applyBorder="1" applyAlignment="1">
      <alignment horizontal="center" vertical="center" shrinkToFit="1"/>
    </xf>
    <xf numFmtId="0" fontId="9" fillId="0" borderId="120" xfId="0" applyFont="1" applyBorder="1" applyAlignment="1">
      <alignment horizontal="center" vertical="center" shrinkToFit="1"/>
    </xf>
    <xf numFmtId="1" fontId="29" fillId="15" borderId="7" xfId="0" applyNumberFormat="1" applyFont="1" applyFill="1" applyBorder="1" applyAlignment="1">
      <alignment horizontal="center" vertical="center" shrinkToFit="1"/>
    </xf>
    <xf numFmtId="0" fontId="9" fillId="0" borderId="201" xfId="0" applyFont="1" applyBorder="1" applyAlignment="1">
      <alignment horizontal="center" vertical="center" shrinkToFit="1"/>
    </xf>
    <xf numFmtId="0" fontId="29" fillId="2" borderId="28" xfId="0" applyFont="1" applyFill="1" applyBorder="1" applyAlignment="1">
      <alignment horizontal="center" vertical="center" shrinkToFit="1"/>
    </xf>
    <xf numFmtId="0" fontId="29" fillId="0" borderId="202" xfId="0" applyFont="1" applyBorder="1" applyAlignment="1">
      <alignment horizontal="center" vertical="center" shrinkToFit="1"/>
    </xf>
    <xf numFmtId="0" fontId="24" fillId="6" borderId="201" xfId="0" applyFont="1" applyFill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 shrinkToFit="1"/>
    </xf>
    <xf numFmtId="176" fontId="8" fillId="2" borderId="9" xfId="0" applyNumberFormat="1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176" fontId="14" fillId="0" borderId="9" xfId="0" applyNumberFormat="1" applyFont="1" applyBorder="1" applyAlignment="1">
      <alignment horizontal="center" vertical="center" shrinkToFit="1"/>
    </xf>
    <xf numFmtId="176" fontId="14" fillId="0" borderId="202" xfId="0" applyNumberFormat="1" applyFont="1" applyBorder="1" applyAlignment="1">
      <alignment horizontal="center" vertical="center" shrinkToFit="1"/>
    </xf>
    <xf numFmtId="0" fontId="24" fillId="6" borderId="108" xfId="0" applyFont="1" applyFill="1" applyBorder="1" applyAlignment="1">
      <alignment horizontal="center" vertical="center" shrinkToFit="1"/>
    </xf>
    <xf numFmtId="0" fontId="29" fillId="15" borderId="11" xfId="0" applyFont="1" applyFill="1" applyBorder="1" applyAlignment="1">
      <alignment horizontal="center" vertical="center" shrinkToFit="1"/>
    </xf>
    <xf numFmtId="0" fontId="29" fillId="14" borderId="67" xfId="0" applyFont="1" applyFill="1" applyBorder="1" applyAlignment="1">
      <alignment horizontal="center" vertical="center" shrinkToFit="1"/>
    </xf>
    <xf numFmtId="0" fontId="29" fillId="15" borderId="8" xfId="0" applyFont="1" applyFill="1" applyBorder="1" applyAlignment="1">
      <alignment horizontal="center" vertical="center" shrinkToFit="1"/>
    </xf>
    <xf numFmtId="0" fontId="29" fillId="4" borderId="11" xfId="0" applyFont="1" applyFill="1" applyBorder="1" applyAlignment="1">
      <alignment horizontal="center" vertical="center" shrinkToFit="1"/>
    </xf>
    <xf numFmtId="0" fontId="0" fillId="14" borderId="204" xfId="0" applyFill="1" applyBorder="1" applyAlignment="1">
      <alignment horizontal="center" vertical="center" shrinkToFit="1"/>
    </xf>
    <xf numFmtId="1" fontId="29" fillId="17" borderId="10" xfId="0" applyNumberFormat="1" applyFont="1" applyFill="1" applyBorder="1" applyAlignment="1">
      <alignment horizontal="center" vertical="center" shrinkToFit="1"/>
    </xf>
    <xf numFmtId="1" fontId="0" fillId="14" borderId="187" xfId="0" applyNumberFormat="1" applyFill="1" applyBorder="1" applyAlignment="1">
      <alignment horizontal="center" vertical="center" shrinkToFit="1"/>
    </xf>
    <xf numFmtId="0" fontId="29" fillId="14" borderId="11" xfId="0" applyFont="1" applyFill="1" applyBorder="1" applyAlignment="1">
      <alignment horizontal="center" vertical="center" shrinkToFit="1"/>
    </xf>
    <xf numFmtId="0" fontId="14" fillId="8" borderId="30" xfId="0" applyFont="1" applyFill="1" applyBorder="1" applyAlignment="1">
      <alignment horizontal="center" vertical="center" shrinkToFit="1"/>
    </xf>
    <xf numFmtId="0" fontId="28" fillId="8" borderId="30" xfId="0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29" fillId="0" borderId="8" xfId="0" applyFont="1" applyBorder="1" applyAlignment="1">
      <alignment horizontal="center" vertical="center" shrinkToFit="1"/>
    </xf>
    <xf numFmtId="1" fontId="29" fillId="14" borderId="203" xfId="0" applyNumberFormat="1" applyFont="1" applyFill="1" applyBorder="1" applyAlignment="1">
      <alignment horizontal="center" vertical="center" shrinkToFit="1"/>
    </xf>
    <xf numFmtId="1" fontId="0" fillId="14" borderId="207" xfId="0" applyNumberFormat="1" applyFill="1" applyBorder="1" applyAlignment="1">
      <alignment horizontal="center" vertical="center" shrinkToFit="1"/>
    </xf>
    <xf numFmtId="0" fontId="29" fillId="0" borderId="9" xfId="0" applyFont="1" applyBorder="1" applyAlignment="1">
      <alignment vertical="center" shrinkToFit="1"/>
    </xf>
    <xf numFmtId="1" fontId="29" fillId="14" borderId="192" xfId="0" applyNumberFormat="1" applyFont="1" applyFill="1" applyBorder="1" applyAlignment="1">
      <alignment horizontal="center" vertical="center" shrinkToFit="1"/>
    </xf>
    <xf numFmtId="1" fontId="29" fillId="14" borderId="191" xfId="0" applyNumberFormat="1" applyFont="1" applyFill="1" applyBorder="1" applyAlignment="1">
      <alignment horizontal="center" vertical="center" shrinkToFit="1"/>
    </xf>
    <xf numFmtId="1" fontId="29" fillId="15" borderId="10" xfId="0" applyNumberFormat="1" applyFont="1" applyFill="1" applyBorder="1" applyAlignment="1">
      <alignment horizontal="center" vertical="center" shrinkToFit="1"/>
    </xf>
    <xf numFmtId="1" fontId="29" fillId="14" borderId="81" xfId="0" applyNumberFormat="1" applyFont="1" applyFill="1" applyBorder="1" applyAlignment="1">
      <alignment horizontal="center" vertical="center" shrinkToFit="1"/>
    </xf>
    <xf numFmtId="0" fontId="29" fillId="14" borderId="82" xfId="0" applyFont="1" applyFill="1" applyBorder="1" applyAlignment="1">
      <alignment horizontal="center" vertical="center"/>
    </xf>
    <xf numFmtId="0" fontId="29" fillId="15" borderId="85" xfId="0" applyFont="1" applyFill="1" applyBorder="1" applyAlignment="1">
      <alignment horizontal="center" vertical="center" shrinkToFit="1"/>
    </xf>
    <xf numFmtId="1" fontId="0" fillId="14" borderId="209" xfId="0" applyNumberFormat="1" applyFill="1" applyBorder="1" applyAlignment="1">
      <alignment horizontal="center" vertical="center" shrinkToFit="1"/>
    </xf>
    <xf numFmtId="1" fontId="0" fillId="17" borderId="67" xfId="0" applyNumberFormat="1" applyFill="1" applyBorder="1" applyAlignment="1">
      <alignment horizontal="center" vertical="center" shrinkToFit="1"/>
    </xf>
    <xf numFmtId="1" fontId="0" fillId="15" borderId="85" xfId="0" applyNumberFormat="1" applyFill="1" applyBorder="1" applyAlignment="1">
      <alignment horizontal="center" vertical="center" shrinkToFit="1"/>
    </xf>
    <xf numFmtId="1" fontId="0" fillId="15" borderId="206" xfId="0" applyNumberFormat="1" applyFill="1" applyBorder="1" applyAlignment="1">
      <alignment horizontal="center" vertical="center" shrinkToFit="1"/>
    </xf>
    <xf numFmtId="1" fontId="0" fillId="15" borderId="109" xfId="0" applyNumberFormat="1" applyFill="1" applyBorder="1" applyAlignment="1">
      <alignment horizontal="center" vertical="center" shrinkToFit="1"/>
    </xf>
    <xf numFmtId="1" fontId="0" fillId="14" borderId="208" xfId="0" applyNumberFormat="1" applyFill="1" applyBorder="1" applyAlignment="1">
      <alignment horizontal="center" vertical="center" shrinkToFit="1"/>
    </xf>
    <xf numFmtId="1" fontId="0" fillId="15" borderId="183" xfId="0" applyNumberFormat="1" applyFill="1" applyBorder="1" applyAlignment="1">
      <alignment horizontal="center" vertical="center" shrinkToFit="1"/>
    </xf>
    <xf numFmtId="1" fontId="29" fillId="4" borderId="8" xfId="0" applyNumberFormat="1" applyFont="1" applyFill="1" applyBorder="1" applyAlignment="1">
      <alignment horizontal="center" vertical="center" shrinkToFit="1"/>
    </xf>
    <xf numFmtId="1" fontId="0" fillId="14" borderId="204" xfId="0" applyNumberFormat="1" applyFill="1" applyBorder="1" applyAlignment="1">
      <alignment horizontal="center" vertical="center" shrinkToFit="1"/>
    </xf>
    <xf numFmtId="0" fontId="29" fillId="0" borderId="14" xfId="0" applyFont="1" applyBorder="1" applyAlignment="1">
      <alignment horizontal="center" vertical="center" shrinkToFit="1"/>
    </xf>
    <xf numFmtId="0" fontId="29" fillId="4" borderId="28" xfId="0" applyFont="1" applyFill="1" applyBorder="1" applyAlignment="1">
      <alignment horizontal="center" vertical="center"/>
    </xf>
    <xf numFmtId="1" fontId="0" fillId="15" borderId="209" xfId="0" applyNumberFormat="1" applyFill="1" applyBorder="1" applyAlignment="1">
      <alignment horizontal="center" vertical="center" shrinkToFit="1"/>
    </xf>
    <xf numFmtId="1" fontId="0" fillId="14" borderId="210" xfId="0" applyNumberFormat="1" applyFill="1" applyBorder="1" applyAlignment="1">
      <alignment horizontal="center" vertical="center" shrinkToFit="1"/>
    </xf>
    <xf numFmtId="1" fontId="29" fillId="14" borderId="28" xfId="0" applyNumberFormat="1" applyFont="1" applyFill="1" applyBorder="1" applyAlignment="1">
      <alignment horizontal="center" vertical="center" shrinkToFit="1"/>
    </xf>
    <xf numFmtId="1" fontId="0" fillId="14" borderId="14" xfId="0" applyNumberFormat="1" applyFill="1" applyBorder="1" applyAlignment="1">
      <alignment horizontal="center" vertical="center" shrinkToFit="1"/>
    </xf>
    <xf numFmtId="1" fontId="29" fillId="15" borderId="31" xfId="0" applyNumberFormat="1" applyFont="1" applyFill="1" applyBorder="1" applyAlignment="1">
      <alignment horizontal="center" vertical="center" shrinkToFit="1"/>
    </xf>
    <xf numFmtId="176" fontId="9" fillId="0" borderId="28" xfId="0" applyNumberFormat="1" applyFont="1" applyBorder="1" applyAlignment="1">
      <alignment horizontal="center" vertical="center" shrinkToFit="1"/>
    </xf>
    <xf numFmtId="176" fontId="9" fillId="0" borderId="117" xfId="0" applyNumberFormat="1" applyFont="1" applyBorder="1" applyAlignment="1">
      <alignment horizontal="center" vertical="center" shrinkToFit="1"/>
    </xf>
    <xf numFmtId="176" fontId="14" fillId="9" borderId="110" xfId="0" applyNumberFormat="1" applyFont="1" applyFill="1" applyBorder="1" applyAlignment="1">
      <alignment horizontal="center" vertical="center" shrinkToFit="1"/>
    </xf>
    <xf numFmtId="0" fontId="30" fillId="2" borderId="115" xfId="0" applyFont="1" applyFill="1" applyBorder="1" applyAlignment="1">
      <alignment vertical="center" shrinkToFit="1"/>
    </xf>
    <xf numFmtId="0" fontId="0" fillId="2" borderId="79" xfId="0" applyFill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 shrinkToFit="1"/>
    </xf>
    <xf numFmtId="0" fontId="4" fillId="0" borderId="202" xfId="0" applyFont="1" applyBorder="1" applyAlignment="1">
      <alignment horizontal="center" vertical="center" wrapText="1"/>
    </xf>
    <xf numFmtId="0" fontId="4" fillId="0" borderId="193" xfId="0" applyFont="1" applyBorder="1" applyAlignment="1">
      <alignment horizontal="center" vertical="center" wrapText="1"/>
    </xf>
    <xf numFmtId="0" fontId="14" fillId="8" borderId="113" xfId="0" applyFont="1" applyFill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4" fillId="8" borderId="217" xfId="0" applyFont="1" applyFill="1" applyBorder="1" applyAlignment="1">
      <alignment horizontal="center" vertical="center" shrinkToFit="1"/>
    </xf>
    <xf numFmtId="0" fontId="17" fillId="8" borderId="218" xfId="0" applyFont="1" applyFill="1" applyBorder="1" applyAlignment="1">
      <alignment horizontal="center" vertical="center" shrinkToFit="1"/>
    </xf>
    <xf numFmtId="1" fontId="0" fillId="15" borderId="203" xfId="0" applyNumberFormat="1" applyFill="1" applyBorder="1" applyAlignment="1">
      <alignment horizontal="center" vertical="center" shrinkToFit="1"/>
    </xf>
    <xf numFmtId="1" fontId="0" fillId="15" borderId="0" xfId="0" applyNumberFormat="1" applyFill="1" applyAlignment="1">
      <alignment horizontal="center" vertical="center" shrinkToFit="1"/>
    </xf>
    <xf numFmtId="1" fontId="0" fillId="15" borderId="75" xfId="0" applyNumberFormat="1" applyFill="1" applyBorder="1" applyAlignment="1">
      <alignment horizontal="center" vertical="center" shrinkToFit="1"/>
    </xf>
    <xf numFmtId="1" fontId="29" fillId="15" borderId="73" xfId="0" applyNumberFormat="1" applyFont="1" applyFill="1" applyBorder="1" applyAlignment="1">
      <alignment horizontal="center" vertical="center" shrinkToFit="1"/>
    </xf>
    <xf numFmtId="0" fontId="0" fillId="15" borderId="191" xfId="0" applyFill="1" applyBorder="1" applyAlignment="1">
      <alignment horizontal="center" vertical="center" shrinkToFit="1"/>
    </xf>
    <xf numFmtId="1" fontId="29" fillId="15" borderId="13" xfId="0" applyNumberFormat="1" applyFont="1" applyFill="1" applyBorder="1" applyAlignment="1">
      <alignment horizontal="center" vertical="center" shrinkToFit="1"/>
    </xf>
    <xf numFmtId="1" fontId="0" fillId="15" borderId="219" xfId="0" applyNumberFormat="1" applyFill="1" applyBorder="1" applyAlignment="1">
      <alignment horizontal="center" vertical="center" shrinkToFit="1"/>
    </xf>
    <xf numFmtId="0" fontId="4" fillId="0" borderId="22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91" xfId="0" applyFont="1" applyFill="1" applyBorder="1" applyAlignment="1">
      <alignment horizontal="center" vertical="center" wrapText="1"/>
    </xf>
    <xf numFmtId="1" fontId="29" fillId="17" borderId="6" xfId="0" applyNumberFormat="1" applyFont="1" applyFill="1" applyBorder="1" applyAlignment="1">
      <alignment horizontal="center" vertical="center" shrinkToFit="1"/>
    </xf>
    <xf numFmtId="1" fontId="29" fillId="17" borderId="18" xfId="0" applyNumberFormat="1" applyFont="1" applyFill="1" applyBorder="1" applyAlignment="1">
      <alignment horizontal="center" vertical="center" shrinkToFit="1"/>
    </xf>
    <xf numFmtId="1" fontId="29" fillId="17" borderId="81" xfId="0" applyNumberFormat="1" applyFont="1" applyFill="1" applyBorder="1" applyAlignment="1">
      <alignment horizontal="center" vertical="center" shrinkToFit="1"/>
    </xf>
    <xf numFmtId="1" fontId="29" fillId="17" borderId="67" xfId="0" applyNumberFormat="1" applyFont="1" applyFill="1" applyBorder="1" applyAlignment="1">
      <alignment horizontal="center" vertical="center" shrinkToFit="1"/>
    </xf>
    <xf numFmtId="1" fontId="29" fillId="17" borderId="82" xfId="0" applyNumberFormat="1" applyFont="1" applyFill="1" applyBorder="1" applyAlignment="1">
      <alignment horizontal="center" vertical="center" shrinkToFit="1"/>
    </xf>
    <xf numFmtId="0" fontId="0" fillId="17" borderId="7" xfId="0" applyFill="1" applyBorder="1" applyAlignment="1">
      <alignment horizontal="center" vertical="center" shrinkToFit="1"/>
    </xf>
    <xf numFmtId="0" fontId="29" fillId="15" borderId="11" xfId="0" applyFont="1" applyFill="1" applyBorder="1" applyAlignment="1">
      <alignment horizontal="center" vertical="center"/>
    </xf>
    <xf numFmtId="1" fontId="29" fillId="4" borderId="17" xfId="0" applyNumberFormat="1" applyFont="1" applyFill="1" applyBorder="1" applyAlignment="1">
      <alignment horizontal="center" vertical="center" shrinkToFit="1"/>
    </xf>
    <xf numFmtId="0" fontId="0" fillId="14" borderId="1" xfId="0" applyFill="1" applyBorder="1" applyAlignment="1">
      <alignment horizontal="center" vertical="center"/>
    </xf>
    <xf numFmtId="0" fontId="0" fillId="0" borderId="210" xfId="0" applyBorder="1" applyAlignment="1">
      <alignment horizontal="center" vertical="center" shrinkToFit="1"/>
    </xf>
    <xf numFmtId="1" fontId="29" fillId="0" borderId="191" xfId="0" applyNumberFormat="1" applyFont="1" applyBorder="1" applyAlignment="1">
      <alignment vertical="center" shrinkToFit="1"/>
    </xf>
    <xf numFmtId="0" fontId="0" fillId="0" borderId="182" xfId="0" applyBorder="1" applyAlignment="1">
      <alignment horizontal="center" vertical="center" shrinkToFit="1"/>
    </xf>
    <xf numFmtId="0" fontId="29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" fontId="29" fillId="2" borderId="63" xfId="0" applyNumberFormat="1" applyFont="1" applyFill="1" applyBorder="1" applyAlignment="1">
      <alignment horizontal="center" vertical="center" shrinkToFit="1"/>
    </xf>
    <xf numFmtId="0" fontId="29" fillId="2" borderId="65" xfId="0" applyFont="1" applyFill="1" applyBorder="1" applyAlignment="1">
      <alignment horizontal="center" vertical="center" shrinkToFit="1"/>
    </xf>
    <xf numFmtId="0" fontId="29" fillId="14" borderId="29" xfId="0" applyFont="1" applyFill="1" applyBorder="1" applyAlignment="1">
      <alignment horizontal="center" vertical="center" shrinkToFit="1"/>
    </xf>
    <xf numFmtId="0" fontId="29" fillId="15" borderId="205" xfId="0" applyFont="1" applyFill="1" applyBorder="1" applyAlignment="1">
      <alignment horizontal="center" vertical="center" shrinkToFit="1"/>
    </xf>
    <xf numFmtId="0" fontId="29" fillId="15" borderId="188" xfId="0" applyFont="1" applyFill="1" applyBorder="1" applyAlignment="1">
      <alignment horizontal="center" vertical="center" shrinkToFit="1"/>
    </xf>
    <xf numFmtId="0" fontId="29" fillId="15" borderId="31" xfId="0" applyFont="1" applyFill="1" applyBorder="1" applyAlignment="1">
      <alignment horizontal="center" vertical="center" shrinkToFit="1"/>
    </xf>
    <xf numFmtId="0" fontId="29" fillId="15" borderId="208" xfId="0" applyFont="1" applyFill="1" applyBorder="1" applyAlignment="1">
      <alignment horizontal="center" vertical="center" shrinkToFit="1"/>
    </xf>
    <xf numFmtId="0" fontId="29" fillId="15" borderId="209" xfId="0" applyFont="1" applyFill="1" applyBorder="1" applyAlignment="1">
      <alignment horizontal="center" vertical="center" shrinkToFit="1"/>
    </xf>
    <xf numFmtId="0" fontId="29" fillId="15" borderId="1" xfId="0" applyFont="1" applyFill="1" applyBorder="1" applyAlignment="1">
      <alignment vertical="center" shrinkToFit="1"/>
    </xf>
    <xf numFmtId="1" fontId="29" fillId="0" borderId="85" xfId="0" applyNumberFormat="1" applyFont="1" applyBorder="1" applyAlignment="1">
      <alignment horizontal="center" vertical="center"/>
    </xf>
    <xf numFmtId="1" fontId="29" fillId="0" borderId="29" xfId="0" applyNumberFormat="1" applyFont="1" applyBorder="1" applyAlignment="1">
      <alignment horizontal="center" vertical="center"/>
    </xf>
    <xf numFmtId="1" fontId="29" fillId="0" borderId="31" xfId="0" applyNumberFormat="1" applyFont="1" applyBorder="1" applyAlignment="1">
      <alignment horizontal="center" vertical="center"/>
    </xf>
    <xf numFmtId="0" fontId="29" fillId="2" borderId="91" xfId="0" applyFont="1" applyFill="1" applyBorder="1" applyAlignment="1">
      <alignment horizontal="center" vertical="center" shrinkToFit="1"/>
    </xf>
    <xf numFmtId="1" fontId="29" fillId="2" borderId="85" xfId="0" applyNumberFormat="1" applyFont="1" applyFill="1" applyBorder="1" applyAlignment="1">
      <alignment horizontal="center" vertical="center" shrinkToFit="1"/>
    </xf>
    <xf numFmtId="0" fontId="29" fillId="2" borderId="81" xfId="0" applyFont="1" applyFill="1" applyBorder="1" applyAlignment="1">
      <alignment horizontal="center" vertical="center" shrinkToFit="1"/>
    </xf>
    <xf numFmtId="0" fontId="29" fillId="2" borderId="10" xfId="0" applyFont="1" applyFill="1" applyBorder="1" applyAlignment="1">
      <alignment horizontal="center" vertical="center"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85" xfId="0" applyFont="1" applyFill="1" applyBorder="1" applyAlignment="1">
      <alignment horizontal="center" vertical="center" shrinkToFit="1"/>
    </xf>
    <xf numFmtId="1" fontId="29" fillId="2" borderId="0" xfId="0" applyNumberFormat="1" applyFont="1" applyFill="1" applyAlignment="1">
      <alignment horizontal="center" vertical="center" shrinkToFit="1"/>
    </xf>
    <xf numFmtId="0" fontId="29" fillId="2" borderId="67" xfId="0" applyFont="1" applyFill="1" applyBorder="1" applyAlignment="1">
      <alignment horizontal="center" vertical="center" shrinkToFit="1"/>
    </xf>
    <xf numFmtId="0" fontId="29" fillId="2" borderId="96" xfId="0" applyFont="1" applyFill="1" applyBorder="1" applyAlignment="1">
      <alignment horizontal="center" vertical="center" shrinkToFit="1"/>
    </xf>
    <xf numFmtId="0" fontId="29" fillId="2" borderId="88" xfId="0" applyFont="1" applyFill="1" applyBorder="1" applyAlignment="1">
      <alignment horizontal="center" vertic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29" fillId="2" borderId="97" xfId="0" applyFont="1" applyFill="1" applyBorder="1" applyAlignment="1">
      <alignment horizontal="center" vertical="center" shrinkToFit="1"/>
    </xf>
    <xf numFmtId="0" fontId="29" fillId="2" borderId="89" xfId="0" applyFont="1" applyFill="1" applyBorder="1" applyAlignment="1">
      <alignment horizontal="center" vertical="center" shrinkToFit="1"/>
    </xf>
    <xf numFmtId="1" fontId="29" fillId="2" borderId="92" xfId="0" applyNumberFormat="1" applyFont="1" applyFill="1" applyBorder="1" applyAlignment="1">
      <alignment horizontal="center" vertical="center" shrinkToFit="1"/>
    </xf>
    <xf numFmtId="1" fontId="29" fillId="2" borderId="29" xfId="0" applyNumberFormat="1" applyFont="1" applyFill="1" applyBorder="1" applyAlignment="1">
      <alignment horizontal="center" vertical="center" shrinkToFit="1"/>
    </xf>
    <xf numFmtId="1" fontId="29" fillId="2" borderId="97" xfId="0" applyNumberFormat="1" applyFont="1" applyFill="1" applyBorder="1" applyAlignment="1">
      <alignment horizontal="center" vertical="center" shrinkToFit="1"/>
    </xf>
    <xf numFmtId="1" fontId="29" fillId="2" borderId="89" xfId="0" applyNumberFormat="1" applyFont="1" applyFill="1" applyBorder="1" applyAlignment="1">
      <alignment horizontal="center" vertical="center" shrinkToFit="1"/>
    </xf>
    <xf numFmtId="0" fontId="29" fillId="2" borderId="31" xfId="0" applyFont="1" applyFill="1" applyBorder="1" applyAlignment="1">
      <alignment horizontal="center" vertical="center" shrinkToFit="1"/>
    </xf>
    <xf numFmtId="0" fontId="29" fillId="2" borderId="93" xfId="0" applyFont="1" applyFill="1" applyBorder="1" applyAlignment="1">
      <alignment horizontal="center" vertical="center" shrinkToFit="1"/>
    </xf>
    <xf numFmtId="0" fontId="29" fillId="2" borderId="99" xfId="0" applyFont="1" applyFill="1" applyBorder="1" applyAlignment="1">
      <alignment horizontal="center" vertical="center" shrinkToFit="1"/>
    </xf>
    <xf numFmtId="0" fontId="29" fillId="2" borderId="94" xfId="0" applyFont="1" applyFill="1" applyBorder="1" applyAlignment="1">
      <alignment horizontal="center" vertical="center" shrinkToFit="1"/>
    </xf>
    <xf numFmtId="0" fontId="29" fillId="2" borderId="84" xfId="0" applyFont="1" applyFill="1" applyBorder="1" applyAlignment="1">
      <alignment horizontal="center" vertical="center" shrinkToFit="1"/>
    </xf>
    <xf numFmtId="0" fontId="29" fillId="2" borderId="90" xfId="0" applyFont="1" applyFill="1" applyBorder="1" applyAlignment="1">
      <alignment horizontal="center" vertical="center" shrinkToFit="1"/>
    </xf>
    <xf numFmtId="0" fontId="29" fillId="2" borderId="86" xfId="0" applyFont="1" applyFill="1" applyBorder="1" applyAlignment="1">
      <alignment horizontal="center" vertical="center" shrinkToFit="1"/>
    </xf>
    <xf numFmtId="0" fontId="29" fillId="2" borderId="26" xfId="0" applyFont="1" applyFill="1" applyBorder="1" applyAlignment="1">
      <alignment horizontal="center" vertical="center" shrinkToFit="1"/>
    </xf>
    <xf numFmtId="0" fontId="29" fillId="2" borderId="95" xfId="0" applyFont="1" applyFill="1" applyBorder="1" applyAlignment="1">
      <alignment horizontal="center" vertical="center" shrinkToFit="1"/>
    </xf>
    <xf numFmtId="0" fontId="29" fillId="2" borderId="98" xfId="0" applyFont="1" applyFill="1" applyBorder="1" applyAlignment="1">
      <alignment horizontal="center" vertical="center" shrinkToFit="1"/>
    </xf>
    <xf numFmtId="1" fontId="29" fillId="2" borderId="22" xfId="0" applyNumberFormat="1" applyFont="1" applyFill="1" applyBorder="1" applyAlignment="1">
      <alignment horizontal="center" vertical="center" shrinkToFit="1"/>
    </xf>
    <xf numFmtId="1" fontId="29" fillId="2" borderId="86" xfId="0" applyNumberFormat="1" applyFont="1" applyFill="1" applyBorder="1" applyAlignment="1">
      <alignment horizontal="center" vertical="center" shrinkToFit="1"/>
    </xf>
    <xf numFmtId="1" fontId="29" fillId="2" borderId="26" xfId="0" applyNumberFormat="1" applyFont="1" applyFill="1" applyBorder="1" applyAlignment="1">
      <alignment horizontal="center" vertical="center" shrinkToFit="1"/>
    </xf>
    <xf numFmtId="1" fontId="29" fillId="2" borderId="90" xfId="0" applyNumberFormat="1" applyFont="1" applyFill="1" applyBorder="1" applyAlignment="1">
      <alignment horizontal="center" vertical="center" shrinkToFit="1"/>
    </xf>
    <xf numFmtId="1" fontId="29" fillId="2" borderId="98" xfId="0" applyNumberFormat="1" applyFont="1" applyFill="1" applyBorder="1" applyAlignment="1">
      <alignment horizontal="center" vertical="center" shrinkToFit="1"/>
    </xf>
    <xf numFmtId="1" fontId="29" fillId="2" borderId="84" xfId="0" applyNumberFormat="1" applyFont="1" applyFill="1" applyBorder="1" applyAlignment="1">
      <alignment horizontal="center" vertical="center" shrinkToFit="1"/>
    </xf>
    <xf numFmtId="1" fontId="29" fillId="2" borderId="100" xfId="0" applyNumberFormat="1" applyFont="1" applyFill="1" applyBorder="1" applyAlignment="1">
      <alignment horizontal="center" vertical="center" shrinkToFit="1"/>
    </xf>
    <xf numFmtId="0" fontId="29" fillId="4" borderId="10" xfId="0" applyFont="1" applyFill="1" applyBorder="1" applyAlignment="1">
      <alignment horizontal="center" vertical="center"/>
    </xf>
    <xf numFmtId="0" fontId="29" fillId="14" borderId="21" xfId="0" applyFont="1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14" borderId="10" xfId="0" applyFill="1" applyBorder="1" applyAlignment="1">
      <alignment horizontal="center" vertical="center" shrinkToFit="1"/>
    </xf>
    <xf numFmtId="0" fontId="0" fillId="15" borderId="8" xfId="0" applyFill="1" applyBorder="1" applyAlignment="1">
      <alignment horizontal="center" vertical="center" shrinkToFit="1"/>
    </xf>
    <xf numFmtId="0" fontId="29" fillId="15" borderId="85" xfId="0" applyFont="1" applyFill="1" applyBorder="1" applyAlignment="1">
      <alignment vertical="center" shrinkToFit="1"/>
    </xf>
    <xf numFmtId="0" fontId="0" fillId="15" borderId="29" xfId="0" applyFill="1" applyBorder="1" applyAlignment="1">
      <alignment horizontal="center" vertical="center" shrinkToFit="1"/>
    </xf>
    <xf numFmtId="1" fontId="0" fillId="15" borderId="8" xfId="0" applyNumberFormat="1" applyFill="1" applyBorder="1" applyAlignment="1">
      <alignment horizontal="center" vertical="center" shrinkToFit="1"/>
    </xf>
    <xf numFmtId="1" fontId="0" fillId="4" borderId="182" xfId="0" applyNumberFormat="1" applyFill="1" applyBorder="1" applyAlignment="1">
      <alignment horizontal="center" vertical="center" shrinkToFit="1"/>
    </xf>
    <xf numFmtId="1" fontId="29" fillId="4" borderId="9" xfId="0" applyNumberFormat="1" applyFont="1" applyFill="1" applyBorder="1" applyAlignment="1">
      <alignment horizontal="center" vertical="center" shrinkToFit="1"/>
    </xf>
    <xf numFmtId="0" fontId="0" fillId="0" borderId="109" xfId="0" applyBorder="1" applyAlignment="1">
      <alignment horizontal="center" vertical="center" shrinkToFit="1"/>
    </xf>
    <xf numFmtId="1" fontId="29" fillId="0" borderId="14" xfId="0" applyNumberFormat="1" applyFont="1" applyBorder="1" applyAlignment="1">
      <alignment horizontal="center" vertical="center" shrinkToFit="1"/>
    </xf>
    <xf numFmtId="0" fontId="29" fillId="4" borderId="11" xfId="0" applyFont="1" applyFill="1" applyBorder="1" applyAlignment="1">
      <alignment horizontal="center" vertical="center"/>
    </xf>
    <xf numFmtId="0" fontId="29" fillId="15" borderId="186" xfId="0" applyFont="1" applyFill="1" applyBorder="1" applyAlignment="1">
      <alignment horizontal="center" vertical="center" shrinkToFit="1"/>
    </xf>
    <xf numFmtId="1" fontId="29" fillId="17" borderId="8" xfId="0" applyNumberFormat="1" applyFont="1" applyFill="1" applyBorder="1" applyAlignment="1">
      <alignment horizontal="center" vertical="center" shrinkToFit="1"/>
    </xf>
    <xf numFmtId="0" fontId="29" fillId="15" borderId="206" xfId="0" applyFont="1" applyFill="1" applyBorder="1" applyAlignment="1">
      <alignment horizontal="center" vertical="center" shrinkToFit="1"/>
    </xf>
    <xf numFmtId="1" fontId="29" fillId="15" borderId="78" xfId="0" applyNumberFormat="1" applyFont="1" applyFill="1" applyBorder="1" applyAlignment="1">
      <alignment horizontal="center" vertical="center" shrinkToFit="1"/>
    </xf>
    <xf numFmtId="0" fontId="0" fillId="15" borderId="77" xfId="0" applyFill="1" applyBorder="1" applyAlignment="1">
      <alignment horizontal="center" vertical="center" shrinkToFit="1"/>
    </xf>
    <xf numFmtId="0" fontId="0" fillId="14" borderId="8" xfId="0" applyFill="1" applyBorder="1" applyAlignment="1">
      <alignment horizontal="center" vertical="center" shrinkToFit="1"/>
    </xf>
    <xf numFmtId="1" fontId="0" fillId="17" borderId="10" xfId="0" applyNumberFormat="1" applyFill="1" applyBorder="1" applyAlignment="1">
      <alignment horizontal="center" vertical="center" shrinkToFit="1"/>
    </xf>
    <xf numFmtId="1" fontId="0" fillId="17" borderId="8" xfId="0" applyNumberFormat="1" applyFill="1" applyBorder="1" applyAlignment="1">
      <alignment horizontal="center" vertical="center" shrinkToFit="1"/>
    </xf>
    <xf numFmtId="0" fontId="29" fillId="0" borderId="17" xfId="0" applyFont="1" applyBorder="1" applyAlignment="1">
      <alignment horizontal="center" vertical="center"/>
    </xf>
    <xf numFmtId="0" fontId="0" fillId="2" borderId="17" xfId="0" applyFill="1" applyBorder="1" applyAlignment="1">
      <alignment vertical="center" shrinkToFit="1"/>
    </xf>
    <xf numFmtId="0" fontId="29" fillId="15" borderId="82" xfId="0" applyFont="1" applyFill="1" applyBorder="1" applyAlignment="1">
      <alignment horizontal="center" vertical="center" shrinkToFit="1"/>
    </xf>
    <xf numFmtId="0" fontId="29" fillId="15" borderId="17" xfId="0" applyFont="1" applyFill="1" applyBorder="1" applyAlignment="1">
      <alignment horizontal="center" vertical="center" shrinkToFit="1"/>
    </xf>
    <xf numFmtId="0" fontId="29" fillId="15" borderId="10" xfId="0" applyFont="1" applyFill="1" applyBorder="1" applyAlignment="1">
      <alignment horizontal="center" vertical="center"/>
    </xf>
    <xf numFmtId="0" fontId="0" fillId="14" borderId="191" xfId="0" applyFill="1" applyBorder="1" applyAlignment="1">
      <alignment horizontal="center" vertical="center" shrinkToFit="1"/>
    </xf>
    <xf numFmtId="0" fontId="29" fillId="0" borderId="28" xfId="0" applyFont="1" applyBorder="1" applyAlignment="1">
      <alignment horizontal="center" vertical="center"/>
    </xf>
    <xf numFmtId="0" fontId="29" fillId="8" borderId="30" xfId="0" applyFont="1" applyFill="1" applyBorder="1" applyAlignment="1">
      <alignment horizontal="center" vertical="center" shrinkToFit="1"/>
    </xf>
    <xf numFmtId="0" fontId="0" fillId="17" borderId="8" xfId="0" applyFill="1" applyBorder="1" applyAlignment="1">
      <alignment horizontal="center" vertical="center" shrinkToFit="1"/>
    </xf>
    <xf numFmtId="0" fontId="18" fillId="8" borderId="30" xfId="0" applyFont="1" applyFill="1" applyBorder="1" applyAlignment="1">
      <alignment horizontal="center" vertical="center" shrinkToFit="1"/>
    </xf>
    <xf numFmtId="0" fontId="28" fillId="8" borderId="80" xfId="0" applyFont="1" applyFill="1" applyBorder="1" applyAlignment="1">
      <alignment horizontal="center" vertical="center" shrinkToFit="1"/>
    </xf>
    <xf numFmtId="0" fontId="28" fillId="8" borderId="14" xfId="0" applyFont="1" applyFill="1" applyBorder="1" applyAlignment="1">
      <alignment horizontal="center" vertical="center" shrinkToFit="1"/>
    </xf>
    <xf numFmtId="0" fontId="29" fillId="15" borderId="6" xfId="0" applyFont="1" applyFill="1" applyBorder="1" applyAlignment="1">
      <alignment horizontal="center" vertical="center" shrinkToFit="1"/>
    </xf>
    <xf numFmtId="0" fontId="29" fillId="15" borderId="13" xfId="0" applyFont="1" applyFill="1" applyBorder="1" applyAlignment="1">
      <alignment horizontal="center" vertical="center" shrinkToFit="1"/>
    </xf>
    <xf numFmtId="0" fontId="29" fillId="14" borderId="80" xfId="0" applyFont="1" applyFill="1" applyBorder="1" applyAlignment="1">
      <alignment horizontal="center" vertical="center"/>
    </xf>
    <xf numFmtId="0" fontId="29" fillId="4" borderId="85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 shrinkToFit="1"/>
    </xf>
    <xf numFmtId="1" fontId="0" fillId="14" borderId="11" xfId="0" applyNumberFormat="1" applyFill="1" applyBorder="1" applyAlignment="1">
      <alignment horizontal="center" vertical="center" shrinkToFit="1"/>
    </xf>
    <xf numFmtId="0" fontId="29" fillId="17" borderId="82" xfId="0" applyFont="1" applyFill="1" applyBorder="1" applyAlignment="1">
      <alignment horizontal="center" vertical="center"/>
    </xf>
    <xf numFmtId="1" fontId="0" fillId="14" borderId="211" xfId="0" applyNumberFormat="1" applyFill="1" applyBorder="1" applyAlignment="1">
      <alignment horizontal="center" vertical="center" shrinkToFit="1"/>
    </xf>
    <xf numFmtId="1" fontId="0" fillId="15" borderId="187" xfId="0" applyNumberFormat="1" applyFill="1" applyBorder="1" applyAlignment="1">
      <alignment horizontal="center" vertical="center" shrinkToFit="1"/>
    </xf>
    <xf numFmtId="0" fontId="29" fillId="14" borderId="67" xfId="0" applyFont="1" applyFill="1" applyBorder="1" applyAlignment="1">
      <alignment horizontal="center" vertical="center"/>
    </xf>
    <xf numFmtId="1" fontId="0" fillId="15" borderId="221" xfId="0" applyNumberFormat="1" applyFill="1" applyBorder="1" applyAlignment="1">
      <alignment horizontal="center" vertical="center" shrinkToFit="1"/>
    </xf>
    <xf numFmtId="0" fontId="29" fillId="14" borderId="209" xfId="0" applyFont="1" applyFill="1" applyBorder="1" applyAlignment="1">
      <alignment horizontal="center" vertical="center" shrinkToFit="1"/>
    </xf>
    <xf numFmtId="0" fontId="29" fillId="15" borderId="222" xfId="0" applyFont="1" applyFill="1" applyBorder="1" applyAlignment="1">
      <alignment horizontal="center" vertical="center" shrinkToFit="1"/>
    </xf>
    <xf numFmtId="0" fontId="29" fillId="14" borderId="188" xfId="0" applyFont="1" applyFill="1" applyBorder="1" applyAlignment="1">
      <alignment horizontal="center" vertical="center" shrinkToFit="1"/>
    </xf>
    <xf numFmtId="0" fontId="29" fillId="14" borderId="205" xfId="0" applyFont="1" applyFill="1" applyBorder="1" applyAlignment="1">
      <alignment horizontal="center" vertical="center" shrinkToFit="1"/>
    </xf>
    <xf numFmtId="0" fontId="5" fillId="16" borderId="12" xfId="0" applyFont="1" applyFill="1" applyBorder="1" applyAlignment="1">
      <alignment horizontal="center" vertical="center" shrinkToFit="1"/>
    </xf>
    <xf numFmtId="0" fontId="29" fillId="16" borderId="12" xfId="4" applyFont="1" applyAlignment="1">
      <alignment horizontal="center" vertical="center" shrinkToFit="1"/>
    </xf>
    <xf numFmtId="0" fontId="0" fillId="0" borderId="80" xfId="0" applyBorder="1">
      <alignment vertical="center"/>
    </xf>
    <xf numFmtId="0" fontId="0" fillId="0" borderId="81" xfId="0" applyBorder="1">
      <alignment vertical="center"/>
    </xf>
    <xf numFmtId="0" fontId="0" fillId="0" borderId="192" xfId="0" applyBorder="1">
      <alignment vertical="center"/>
    </xf>
    <xf numFmtId="0" fontId="31" fillId="0" borderId="5" xfId="0" applyFont="1" applyBorder="1">
      <alignment vertical="center"/>
    </xf>
    <xf numFmtId="1" fontId="29" fillId="15" borderId="1" xfId="2" applyNumberFormat="1" applyFont="1" applyAlignment="1">
      <alignment horizontal="center" vertical="center" shrinkToFit="1"/>
    </xf>
    <xf numFmtId="1" fontId="29" fillId="16" borderId="12" xfId="4" applyNumberFormat="1" applyFont="1" applyAlignment="1">
      <alignment horizontal="center" vertical="center" shrinkToFit="1"/>
    </xf>
    <xf numFmtId="1" fontId="0" fillId="15" borderId="1" xfId="2" applyNumberFormat="1" applyFont="1" applyAlignment="1">
      <alignment horizontal="center" vertical="center" shrinkToFit="1"/>
    </xf>
    <xf numFmtId="0" fontId="29" fillId="17" borderId="10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 shrinkToFit="1"/>
    </xf>
    <xf numFmtId="0" fontId="29" fillId="15" borderId="85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14" borderId="223" xfId="0" applyFont="1" applyFill="1" applyBorder="1" applyAlignment="1">
      <alignment horizontal="center" vertical="center"/>
    </xf>
    <xf numFmtId="0" fontId="29" fillId="14" borderId="224" xfId="0" applyFont="1" applyFill="1" applyBorder="1" applyAlignment="1">
      <alignment horizontal="center" vertical="center"/>
    </xf>
    <xf numFmtId="0" fontId="29" fillId="14" borderId="224" xfId="0" applyFont="1" applyFill="1" applyBorder="1" applyAlignment="1">
      <alignment horizontal="center" vertical="center" shrinkToFit="1"/>
    </xf>
    <xf numFmtId="0" fontId="29" fillId="14" borderId="223" xfId="0" applyFont="1" applyFill="1" applyBorder="1" applyAlignment="1">
      <alignment horizontal="center" vertical="center" shrinkToFit="1"/>
    </xf>
    <xf numFmtId="0" fontId="29" fillId="14" borderId="186" xfId="0" applyFont="1" applyFill="1" applyBorder="1" applyAlignment="1">
      <alignment horizontal="center" vertical="center" shrinkToFit="1"/>
    </xf>
    <xf numFmtId="0" fontId="29" fillId="2" borderId="224" xfId="0" applyFont="1" applyFill="1" applyBorder="1" applyAlignment="1">
      <alignment horizontal="center" vertical="center" shrinkToFit="1"/>
    </xf>
    <xf numFmtId="0" fontId="29" fillId="15" borderId="224" xfId="0" applyFont="1" applyFill="1" applyBorder="1" applyAlignment="1">
      <alignment horizontal="center" vertical="center" shrinkToFit="1"/>
    </xf>
    <xf numFmtId="0" fontId="29" fillId="15" borderId="223" xfId="0" applyFont="1" applyFill="1" applyBorder="1" applyAlignment="1">
      <alignment horizontal="center" vertical="center" shrinkToFit="1"/>
    </xf>
    <xf numFmtId="0" fontId="29" fillId="14" borderId="225" xfId="0" applyFont="1" applyFill="1" applyBorder="1" applyAlignment="1">
      <alignment horizontal="center" vertical="center" shrinkToFit="1"/>
    </xf>
    <xf numFmtId="0" fontId="29" fillId="14" borderId="227" xfId="0" applyFont="1" applyFill="1" applyBorder="1" applyAlignment="1">
      <alignment horizontal="center" vertical="center"/>
    </xf>
    <xf numFmtId="0" fontId="29" fillId="14" borderId="228" xfId="0" applyFont="1" applyFill="1" applyBorder="1" applyAlignment="1">
      <alignment horizontal="center" vertical="center" shrinkToFit="1"/>
    </xf>
    <xf numFmtId="0" fontId="29" fillId="14" borderId="229" xfId="0" applyFont="1" applyFill="1" applyBorder="1" applyAlignment="1">
      <alignment horizontal="center" vertical="center" shrinkToFit="1"/>
    </xf>
    <xf numFmtId="0" fontId="29" fillId="14" borderId="230" xfId="0" applyFont="1" applyFill="1" applyBorder="1" applyAlignment="1">
      <alignment horizontal="center" vertical="center" shrinkToFit="1"/>
    </xf>
    <xf numFmtId="0" fontId="29" fillId="14" borderId="231" xfId="0" applyFont="1" applyFill="1" applyBorder="1" applyAlignment="1">
      <alignment horizontal="center" vertical="center" shrinkToFit="1"/>
    </xf>
    <xf numFmtId="0" fontId="29" fillId="14" borderId="232" xfId="0" applyFont="1" applyFill="1" applyBorder="1" applyAlignment="1">
      <alignment horizontal="center" vertical="center" shrinkToFit="1"/>
    </xf>
    <xf numFmtId="0" fontId="29" fillId="15" borderId="232" xfId="0" applyFont="1" applyFill="1" applyBorder="1" applyAlignment="1">
      <alignment horizontal="center" vertical="center" shrinkToFit="1"/>
    </xf>
    <xf numFmtId="0" fontId="29" fillId="15" borderId="228" xfId="0" applyFont="1" applyFill="1" applyBorder="1" applyAlignment="1">
      <alignment horizontal="center" vertical="center" shrinkToFit="1"/>
    </xf>
    <xf numFmtId="0" fontId="29" fillId="14" borderId="233" xfId="0" applyFont="1" applyFill="1" applyBorder="1" applyAlignment="1">
      <alignment horizontal="center" vertical="center" shrinkToFit="1"/>
    </xf>
    <xf numFmtId="0" fontId="29" fillId="14" borderId="234" xfId="0" applyFont="1" applyFill="1" applyBorder="1" applyAlignment="1">
      <alignment horizontal="center" vertical="center" shrinkToFit="1"/>
    </xf>
    <xf numFmtId="0" fontId="29" fillId="15" borderId="233" xfId="0" applyFont="1" applyFill="1" applyBorder="1" applyAlignment="1">
      <alignment horizontal="center" vertical="center" shrinkToFit="1"/>
    </xf>
    <xf numFmtId="0" fontId="29" fillId="0" borderId="11" xfId="0" applyFont="1" applyBorder="1" applyAlignment="1">
      <alignment horizontal="center" vertical="center" shrinkToFit="1"/>
    </xf>
    <xf numFmtId="0" fontId="29" fillId="17" borderId="157" xfId="0" applyFont="1" applyFill="1" applyBorder="1" applyAlignment="1">
      <alignment horizontal="center" vertical="center" shrinkToFit="1"/>
    </xf>
    <xf numFmtId="0" fontId="29" fillId="17" borderId="156" xfId="0" applyFont="1" applyFill="1" applyBorder="1" applyAlignment="1">
      <alignment horizontal="center" vertical="center" shrinkToFit="1"/>
    </xf>
    <xf numFmtId="1" fontId="29" fillId="17" borderId="156" xfId="0" applyNumberFormat="1" applyFont="1" applyFill="1" applyBorder="1" applyAlignment="1">
      <alignment horizontal="center" vertical="center" shrinkToFit="1"/>
    </xf>
    <xf numFmtId="1" fontId="29" fillId="17" borderId="157" xfId="0" applyNumberFormat="1" applyFont="1" applyFill="1" applyBorder="1" applyAlignment="1">
      <alignment horizontal="center" vertical="center" shrinkToFit="1"/>
    </xf>
    <xf numFmtId="1" fontId="29" fillId="14" borderId="156" xfId="0" applyNumberFormat="1" applyFont="1" applyFill="1" applyBorder="1" applyAlignment="1">
      <alignment horizontal="center" vertical="center" shrinkToFit="1"/>
    </xf>
    <xf numFmtId="1" fontId="29" fillId="14" borderId="157" xfId="0" applyNumberFormat="1" applyFont="1" applyFill="1" applyBorder="1" applyAlignment="1">
      <alignment horizontal="center" vertical="center" shrinkToFit="1"/>
    </xf>
    <xf numFmtId="0" fontId="29" fillId="15" borderId="16" xfId="0" applyFont="1" applyFill="1" applyBorder="1" applyAlignment="1">
      <alignment horizontal="center" vertical="center" shrinkToFit="1"/>
    </xf>
    <xf numFmtId="0" fontId="29" fillId="14" borderId="85" xfId="0" applyFont="1" applyFill="1" applyBorder="1" applyAlignment="1">
      <alignment horizontal="center" vertical="center" shrinkToFit="1"/>
    </xf>
    <xf numFmtId="0" fontId="29" fillId="14" borderId="17" xfId="0" applyFont="1" applyFill="1" applyBorder="1" applyAlignment="1">
      <alignment horizontal="center" vertical="center" shrinkToFit="1"/>
    </xf>
    <xf numFmtId="0" fontId="29" fillId="14" borderId="157" xfId="0" applyFont="1" applyFill="1" applyBorder="1" applyAlignment="1">
      <alignment horizontal="center" vertical="center" shrinkToFit="1"/>
    </xf>
    <xf numFmtId="0" fontId="29" fillId="15" borderId="11" xfId="2" applyFont="1" applyBorder="1" applyAlignment="1">
      <alignment horizontal="center" vertical="center" shrinkToFit="1"/>
    </xf>
    <xf numFmtId="0" fontId="29" fillId="15" borderId="157" xfId="0" applyFont="1" applyFill="1" applyBorder="1" applyAlignment="1">
      <alignment horizontal="center" vertical="center" shrinkToFit="1"/>
    </xf>
    <xf numFmtId="1" fontId="29" fillId="15" borderId="156" xfId="0" applyNumberFormat="1" applyFont="1" applyFill="1" applyBorder="1" applyAlignment="1">
      <alignment horizontal="center" vertical="center" shrinkToFit="1"/>
    </xf>
    <xf numFmtId="1" fontId="29" fillId="14" borderId="166" xfId="0" applyNumberFormat="1" applyFont="1" applyFill="1" applyBorder="1" applyAlignment="1">
      <alignment horizontal="center" vertical="center" shrinkToFit="1"/>
    </xf>
    <xf numFmtId="1" fontId="29" fillId="15" borderId="157" xfId="0" applyNumberFormat="1" applyFont="1" applyFill="1" applyBorder="1" applyAlignment="1">
      <alignment horizontal="center" vertical="center" shrinkToFit="1"/>
    </xf>
    <xf numFmtId="1" fontId="29" fillId="15" borderId="155" xfId="0" applyNumberFormat="1" applyFont="1" applyFill="1" applyBorder="1" applyAlignment="1">
      <alignment horizontal="center" vertical="center" shrinkToFit="1"/>
    </xf>
    <xf numFmtId="1" fontId="29" fillId="14" borderId="155" xfId="0" applyNumberFormat="1" applyFont="1" applyFill="1" applyBorder="1" applyAlignment="1">
      <alignment horizontal="center" vertical="center" shrinkToFit="1"/>
    </xf>
    <xf numFmtId="0" fontId="29" fillId="14" borderId="206" xfId="0" applyFont="1" applyFill="1" applyBorder="1" applyAlignment="1">
      <alignment horizontal="center" vertical="center" shrinkToFit="1"/>
    </xf>
    <xf numFmtId="0" fontId="29" fillId="14" borderId="235" xfId="0" applyFont="1" applyFill="1" applyBorder="1" applyAlignment="1">
      <alignment horizontal="center" vertical="center" shrinkToFit="1"/>
    </xf>
    <xf numFmtId="0" fontId="29" fillId="14" borderId="236" xfId="0" applyFont="1" applyFill="1" applyBorder="1" applyAlignment="1">
      <alignment horizontal="center" vertical="center" shrinkToFit="1"/>
    </xf>
    <xf numFmtId="0" fontId="29" fillId="15" borderId="10" xfId="2" applyFont="1" applyBorder="1" applyAlignment="1">
      <alignment horizontal="center" vertical="center" shrinkToFit="1"/>
    </xf>
    <xf numFmtId="0" fontId="29" fillId="14" borderId="237" xfId="0" applyFont="1" applyFill="1" applyBorder="1" applyAlignment="1">
      <alignment horizontal="center" vertical="center" shrinkToFit="1"/>
    </xf>
    <xf numFmtId="0" fontId="29" fillId="14" borderId="154" xfId="0" applyFont="1" applyFill="1" applyBorder="1" applyAlignment="1">
      <alignment horizontal="center" vertical="center" shrinkToFit="1"/>
    </xf>
    <xf numFmtId="0" fontId="29" fillId="14" borderId="166" xfId="0" applyFont="1" applyFill="1" applyBorder="1" applyAlignment="1">
      <alignment horizontal="center" vertical="center" shrinkToFit="1"/>
    </xf>
    <xf numFmtId="1" fontId="29" fillId="17" borderId="155" xfId="0" applyNumberFormat="1" applyFont="1" applyFill="1" applyBorder="1" applyAlignment="1">
      <alignment horizontal="center" vertical="center" shrinkToFit="1"/>
    </xf>
    <xf numFmtId="1" fontId="29" fillId="15" borderId="166" xfId="0" applyNumberFormat="1" applyFont="1" applyFill="1" applyBorder="1" applyAlignment="1">
      <alignment horizontal="center" vertical="center" shrinkToFit="1"/>
    </xf>
    <xf numFmtId="1" fontId="5" fillId="15" borderId="156" xfId="2" applyNumberFormat="1" applyFont="1" applyBorder="1" applyAlignment="1">
      <alignment horizontal="center" vertical="center" shrinkToFit="1"/>
    </xf>
    <xf numFmtId="1" fontId="29" fillId="14" borderId="158" xfId="0" applyNumberFormat="1" applyFont="1" applyFill="1" applyBorder="1" applyAlignment="1">
      <alignment horizontal="center" vertical="center" shrinkToFit="1"/>
    </xf>
    <xf numFmtId="0" fontId="29" fillId="14" borderId="238" xfId="0" applyFont="1" applyFill="1" applyBorder="1" applyAlignment="1">
      <alignment horizontal="center" vertical="center" shrinkToFit="1"/>
    </xf>
    <xf numFmtId="0" fontId="29" fillId="15" borderId="156" xfId="0" applyFont="1" applyFill="1" applyBorder="1" applyAlignment="1">
      <alignment horizontal="center" vertical="center" shrinkToFit="1"/>
    </xf>
    <xf numFmtId="1" fontId="29" fillId="17" borderId="166" xfId="0" applyNumberFormat="1" applyFont="1" applyFill="1" applyBorder="1" applyAlignment="1">
      <alignment horizontal="center" vertical="center" shrinkToFit="1"/>
    </xf>
    <xf numFmtId="1" fontId="6" fillId="15" borderId="156" xfId="2" applyNumberFormat="1" applyFont="1" applyBorder="1" applyAlignment="1">
      <alignment horizontal="center" vertical="center" shrinkToFit="1"/>
    </xf>
    <xf numFmtId="1" fontId="29" fillId="15" borderId="156" xfId="2" applyNumberFormat="1" applyFont="1" applyBorder="1" applyAlignment="1">
      <alignment horizontal="center" vertical="center" shrinkToFit="1"/>
    </xf>
    <xf numFmtId="0" fontId="29" fillId="4" borderId="186" xfId="0" applyFont="1" applyFill="1" applyBorder="1" applyAlignment="1">
      <alignment horizontal="center" vertical="center" shrinkToFit="1"/>
    </xf>
    <xf numFmtId="0" fontId="29" fillId="4" borderId="188" xfId="0" applyFont="1" applyFill="1" applyBorder="1" applyAlignment="1">
      <alignment horizontal="center" vertical="center" shrinkToFit="1"/>
    </xf>
    <xf numFmtId="0" fontId="29" fillId="14" borderId="240" xfId="0" applyFont="1" applyFill="1" applyBorder="1" applyAlignment="1">
      <alignment horizontal="center" vertical="center" shrinkToFit="1"/>
    </xf>
    <xf numFmtId="0" fontId="29" fillId="4" borderId="17" xfId="0" applyFont="1" applyFill="1" applyBorder="1" applyAlignment="1">
      <alignment horizontal="center" vertical="center" shrinkToFit="1"/>
    </xf>
    <xf numFmtId="0" fontId="29" fillId="4" borderId="156" xfId="0" applyFont="1" applyFill="1" applyBorder="1" applyAlignment="1">
      <alignment horizontal="center" vertical="center" shrinkToFit="1"/>
    </xf>
    <xf numFmtId="1" fontId="29" fillId="4" borderId="156" xfId="0" applyNumberFormat="1" applyFont="1" applyFill="1" applyBorder="1" applyAlignment="1">
      <alignment horizontal="center" vertical="center" shrinkToFit="1"/>
    </xf>
    <xf numFmtId="1" fontId="29" fillId="13" borderId="156" xfId="0" applyNumberFormat="1" applyFont="1" applyFill="1" applyBorder="1" applyAlignment="1">
      <alignment horizontal="center" vertical="center" shrinkToFit="1"/>
    </xf>
    <xf numFmtId="1" fontId="29" fillId="15" borderId="243" xfId="0" applyNumberFormat="1" applyFont="1" applyFill="1" applyBorder="1" applyAlignment="1">
      <alignment horizontal="center" vertical="center" shrinkToFit="1"/>
    </xf>
    <xf numFmtId="1" fontId="29" fillId="17" borderId="242" xfId="0" applyNumberFormat="1" applyFont="1" applyFill="1" applyBorder="1" applyAlignment="1">
      <alignment horizontal="center" vertical="center" shrinkToFit="1"/>
    </xf>
    <xf numFmtId="0" fontId="29" fillId="14" borderId="78" xfId="0" applyFont="1" applyFill="1" applyBorder="1" applyAlignment="1">
      <alignment horizontal="center" vertical="center" shrinkToFit="1"/>
    </xf>
    <xf numFmtId="1" fontId="29" fillId="17" borderId="244" xfId="0" applyNumberFormat="1" applyFont="1" applyFill="1" applyBorder="1" applyAlignment="1">
      <alignment horizontal="center" vertical="center" shrinkToFit="1"/>
    </xf>
    <xf numFmtId="1" fontId="29" fillId="17" borderId="243" xfId="0" applyNumberFormat="1" applyFont="1" applyFill="1" applyBorder="1" applyAlignment="1">
      <alignment horizontal="center" vertical="center" shrinkToFit="1"/>
    </xf>
    <xf numFmtId="0" fontId="29" fillId="14" borderId="223" xfId="0" applyFont="1" applyFill="1" applyBorder="1" applyAlignment="1">
      <alignment horizontal="center" vertical="top" shrinkToFit="1"/>
    </xf>
    <xf numFmtId="1" fontId="29" fillId="14" borderId="161" xfId="0" applyNumberFormat="1" applyFont="1" applyFill="1" applyBorder="1" applyAlignment="1">
      <alignment horizontal="center" vertical="center" shrinkToFit="1"/>
    </xf>
    <xf numFmtId="0" fontId="29" fillId="14" borderId="227" xfId="0" applyFont="1" applyFill="1" applyBorder="1" applyAlignment="1">
      <alignment horizontal="center" vertical="top" shrinkToFit="1"/>
    </xf>
    <xf numFmtId="1" fontId="29" fillId="14" borderId="163" xfId="0" applyNumberFormat="1" applyFont="1" applyFill="1" applyBorder="1" applyAlignment="1">
      <alignment horizontal="center" vertical="center" shrinkToFit="1"/>
    </xf>
    <xf numFmtId="0" fontId="29" fillId="14" borderId="224" xfId="0" applyFont="1" applyFill="1" applyBorder="1" applyAlignment="1">
      <alignment horizontal="center" vertical="top" shrinkToFit="1"/>
    </xf>
    <xf numFmtId="1" fontId="29" fillId="14" borderId="162" xfId="0" applyNumberFormat="1" applyFont="1" applyFill="1" applyBorder="1" applyAlignment="1">
      <alignment horizontal="center" vertical="center" shrinkToFit="1"/>
    </xf>
    <xf numFmtId="1" fontId="29" fillId="4" borderId="161" xfId="0" applyNumberFormat="1" applyFont="1" applyFill="1" applyBorder="1" applyAlignment="1">
      <alignment horizontal="center" vertical="center" shrinkToFit="1"/>
    </xf>
    <xf numFmtId="0" fontId="29" fillId="4" borderId="161" xfId="0" applyFont="1" applyFill="1" applyBorder="1" applyAlignment="1">
      <alignment horizontal="center" vertical="center" shrinkToFit="1"/>
    </xf>
    <xf numFmtId="1" fontId="29" fillId="15" borderId="162" xfId="0" applyNumberFormat="1" applyFont="1" applyFill="1" applyBorder="1" applyAlignment="1">
      <alignment horizontal="center" vertical="center" shrinkToFit="1"/>
    </xf>
    <xf numFmtId="0" fontId="29" fillId="4" borderId="228" xfId="0" applyFont="1" applyFill="1" applyBorder="1" applyAlignment="1">
      <alignment horizontal="center" vertical="center" shrinkToFit="1"/>
    </xf>
    <xf numFmtId="0" fontId="29" fillId="17" borderId="243" xfId="0" applyFont="1" applyFill="1" applyBorder="1" applyAlignment="1">
      <alignment horizontal="center" vertical="center" shrinkToFit="1"/>
    </xf>
    <xf numFmtId="0" fontId="29" fillId="4" borderId="242" xfId="0" applyFont="1" applyFill="1" applyBorder="1" applyAlignment="1">
      <alignment horizontal="center" vertical="center" shrinkToFit="1"/>
    </xf>
    <xf numFmtId="0" fontId="29" fillId="15" borderId="0" xfId="0" applyFont="1" applyFill="1" applyAlignment="1">
      <alignment horizontal="center" vertical="center" shrinkToFit="1"/>
    </xf>
    <xf numFmtId="0" fontId="29" fillId="15" borderId="245" xfId="0" applyFont="1" applyFill="1" applyBorder="1" applyAlignment="1">
      <alignment horizontal="center" vertical="center" shrinkToFit="1"/>
    </xf>
    <xf numFmtId="1" fontId="29" fillId="15" borderId="246" xfId="0" applyNumberFormat="1" applyFont="1" applyFill="1" applyBorder="1" applyAlignment="1">
      <alignment horizontal="center" vertical="center" shrinkToFit="1"/>
    </xf>
    <xf numFmtId="1" fontId="29" fillId="14" borderId="242" xfId="0" applyNumberFormat="1" applyFont="1" applyFill="1" applyBorder="1" applyAlignment="1">
      <alignment horizontal="center" vertical="center" shrinkToFit="1"/>
    </xf>
    <xf numFmtId="0" fontId="29" fillId="17" borderId="247" xfId="0" applyFont="1" applyFill="1" applyBorder="1" applyAlignment="1">
      <alignment horizontal="center" vertical="center" shrinkToFit="1"/>
    </xf>
    <xf numFmtId="0" fontId="29" fillId="17" borderId="67" xfId="0" applyFont="1" applyFill="1" applyBorder="1" applyAlignment="1">
      <alignment horizontal="center" vertical="center"/>
    </xf>
    <xf numFmtId="0" fontId="29" fillId="4" borderId="29" xfId="0" applyFont="1" applyFill="1" applyBorder="1" applyAlignment="1">
      <alignment horizontal="center" vertical="center"/>
    </xf>
    <xf numFmtId="0" fontId="29" fillId="14" borderId="11" xfId="0" applyFont="1" applyFill="1" applyBorder="1" applyAlignment="1">
      <alignment horizontal="center" vertical="center"/>
    </xf>
    <xf numFmtId="0" fontId="29" fillId="4" borderId="156" xfId="0" applyFont="1" applyFill="1" applyBorder="1" applyAlignment="1">
      <alignment horizontal="center" vertical="center"/>
    </xf>
    <xf numFmtId="0" fontId="29" fillId="4" borderId="157" xfId="0" applyFont="1" applyFill="1" applyBorder="1" applyAlignment="1">
      <alignment horizontal="center" vertical="center"/>
    </xf>
    <xf numFmtId="0" fontId="29" fillId="14" borderId="157" xfId="0" applyFont="1" applyFill="1" applyBorder="1" applyAlignment="1">
      <alignment horizontal="center" vertical="center"/>
    </xf>
    <xf numFmtId="0" fontId="29" fillId="15" borderId="156" xfId="0" applyFont="1" applyFill="1" applyBorder="1" applyAlignment="1">
      <alignment horizontal="center" vertical="center"/>
    </xf>
    <xf numFmtId="0" fontId="29" fillId="15" borderId="155" xfId="0" applyFont="1" applyFill="1" applyBorder="1" applyAlignment="1">
      <alignment horizontal="center" vertical="center"/>
    </xf>
    <xf numFmtId="0" fontId="29" fillId="0" borderId="155" xfId="0" applyFont="1" applyBorder="1" applyAlignment="1">
      <alignment horizontal="center" vertical="center"/>
    </xf>
    <xf numFmtId="0" fontId="29" fillId="0" borderId="157" xfId="0" applyFont="1" applyBorder="1" applyAlignment="1">
      <alignment horizontal="center" vertical="center"/>
    </xf>
    <xf numFmtId="0" fontId="29" fillId="17" borderId="166" xfId="0" applyFont="1" applyFill="1" applyBorder="1" applyAlignment="1">
      <alignment horizontal="center" vertical="center"/>
    </xf>
    <xf numFmtId="0" fontId="29" fillId="17" borderId="156" xfId="0" applyFont="1" applyFill="1" applyBorder="1" applyAlignment="1">
      <alignment horizontal="center" vertical="center"/>
    </xf>
    <xf numFmtId="0" fontId="29" fillId="17" borderId="156" xfId="7" applyFont="1" applyBorder="1" applyAlignment="1">
      <alignment horizontal="center" vertical="center"/>
    </xf>
    <xf numFmtId="0" fontId="29" fillId="15" borderId="203" xfId="0" applyFont="1" applyFill="1" applyBorder="1" applyAlignment="1">
      <alignment horizontal="center" vertical="center"/>
    </xf>
    <xf numFmtId="0" fontId="29" fillId="14" borderId="28" xfId="0" applyFont="1" applyFill="1" applyBorder="1" applyAlignment="1">
      <alignment horizontal="center" vertical="center"/>
    </xf>
    <xf numFmtId="0" fontId="29" fillId="17" borderId="157" xfId="0" applyFont="1" applyFill="1" applyBorder="1" applyAlignment="1">
      <alignment horizontal="center" vertical="center"/>
    </xf>
    <xf numFmtId="0" fontId="29" fillId="15" borderId="241" xfId="0" applyFont="1" applyFill="1" applyBorder="1" applyAlignment="1">
      <alignment horizontal="center" vertical="center"/>
    </xf>
    <xf numFmtId="0" fontId="29" fillId="14" borderId="78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14" borderId="158" xfId="0" applyFont="1" applyFill="1" applyBorder="1" applyAlignment="1">
      <alignment horizontal="center" vertical="center"/>
    </xf>
    <xf numFmtId="0" fontId="29" fillId="15" borderId="242" xfId="2" applyFont="1" applyBorder="1" applyAlignment="1">
      <alignment horizontal="center" vertical="center"/>
    </xf>
    <xf numFmtId="0" fontId="29" fillId="14" borderId="161" xfId="0" applyFont="1" applyFill="1" applyBorder="1" applyAlignment="1">
      <alignment horizontal="center" vertical="center"/>
    </xf>
    <xf numFmtId="0" fontId="29" fillId="15" borderId="161" xfId="0" applyFont="1" applyFill="1" applyBorder="1" applyAlignment="1">
      <alignment horizontal="center" vertical="center"/>
    </xf>
    <xf numFmtId="0" fontId="29" fillId="15" borderId="67" xfId="0" applyFont="1" applyFill="1" applyBorder="1" applyAlignment="1">
      <alignment horizontal="center" vertical="center"/>
    </xf>
    <xf numFmtId="0" fontId="29" fillId="4" borderId="82" xfId="0" applyFont="1" applyFill="1" applyBorder="1" applyAlignment="1">
      <alignment horizontal="center" vertical="center"/>
    </xf>
    <xf numFmtId="0" fontId="0" fillId="14" borderId="209" xfId="0" applyFill="1" applyBorder="1" applyAlignment="1">
      <alignment horizontal="center" vertical="center" shrinkToFit="1"/>
    </xf>
    <xf numFmtId="0" fontId="0" fillId="14" borderId="188" xfId="0" applyFill="1" applyBorder="1" applyAlignment="1">
      <alignment horizontal="center" vertical="center" shrinkToFit="1"/>
    </xf>
    <xf numFmtId="0" fontId="29" fillId="15" borderId="247" xfId="0" applyFont="1" applyFill="1" applyBorder="1" applyAlignment="1">
      <alignment horizontal="center" vertical="center"/>
    </xf>
    <xf numFmtId="0" fontId="29" fillId="4" borderId="248" xfId="0" applyFont="1" applyFill="1" applyBorder="1" applyAlignment="1">
      <alignment horizontal="center" vertical="center"/>
    </xf>
    <xf numFmtId="0" fontId="29" fillId="4" borderId="242" xfId="0" applyFont="1" applyFill="1" applyBorder="1" applyAlignment="1">
      <alignment horizontal="center" vertical="center"/>
    </xf>
    <xf numFmtId="0" fontId="29" fillId="4" borderId="243" xfId="0" applyFont="1" applyFill="1" applyBorder="1" applyAlignment="1">
      <alignment horizontal="center" vertical="center"/>
    </xf>
    <xf numFmtId="0" fontId="29" fillId="14" borderId="242" xfId="0" applyFont="1" applyFill="1" applyBorder="1" applyAlignment="1">
      <alignment horizontal="center" vertical="center"/>
    </xf>
    <xf numFmtId="0" fontId="29" fillId="17" borderId="242" xfId="0" applyFont="1" applyFill="1" applyBorder="1" applyAlignment="1">
      <alignment horizontal="center" vertical="center"/>
    </xf>
    <xf numFmtId="0" fontId="29" fillId="17" borderId="243" xfId="0" applyFont="1" applyFill="1" applyBorder="1" applyAlignment="1">
      <alignment horizontal="center" vertical="center"/>
    </xf>
    <xf numFmtId="0" fontId="29" fillId="14" borderId="244" xfId="0" applyFont="1" applyFill="1" applyBorder="1" applyAlignment="1">
      <alignment horizontal="center" vertical="center"/>
    </xf>
    <xf numFmtId="0" fontId="29" fillId="14" borderId="155" xfId="0" applyFont="1" applyFill="1" applyBorder="1" applyAlignment="1">
      <alignment horizontal="center" vertical="center"/>
    </xf>
    <xf numFmtId="0" fontId="0" fillId="15" borderId="209" xfId="0" applyFill="1" applyBorder="1" applyAlignment="1">
      <alignment horizontal="center" vertical="center" shrinkToFit="1"/>
    </xf>
    <xf numFmtId="1" fontId="29" fillId="17" borderId="157" xfId="7" applyNumberFormat="1" applyFont="1" applyBorder="1" applyAlignment="1">
      <alignment horizontal="center" vertical="center" shrinkToFit="1"/>
    </xf>
    <xf numFmtId="1" fontId="29" fillId="17" borderId="156" xfId="7" applyNumberFormat="1" applyFont="1" applyBorder="1" applyAlignment="1">
      <alignment horizontal="center" vertical="center" shrinkToFit="1"/>
    </xf>
    <xf numFmtId="1" fontId="29" fillId="17" borderId="158" xfId="7" applyNumberFormat="1" applyFont="1" applyBorder="1" applyAlignment="1">
      <alignment horizontal="center" vertical="center" shrinkToFit="1"/>
    </xf>
    <xf numFmtId="1" fontId="29" fillId="17" borderId="239" xfId="7" applyNumberFormat="1" applyFont="1" applyBorder="1" applyAlignment="1">
      <alignment horizontal="center" vertical="center" shrinkToFit="1"/>
    </xf>
    <xf numFmtId="1" fontId="29" fillId="17" borderId="166" xfId="7" applyNumberFormat="1" applyFont="1" applyBorder="1" applyAlignment="1">
      <alignment horizontal="center" vertical="center" shrinkToFit="1"/>
    </xf>
    <xf numFmtId="1" fontId="29" fillId="17" borderId="248" xfId="0" applyNumberFormat="1" applyFont="1" applyFill="1" applyBorder="1" applyAlignment="1">
      <alignment horizontal="center" vertical="center" shrinkToFit="1"/>
    </xf>
    <xf numFmtId="0" fontId="29" fillId="17" borderId="157" xfId="7" applyFont="1" applyBorder="1" applyAlignment="1">
      <alignment horizontal="center" vertical="center" shrinkToFit="1"/>
    </xf>
    <xf numFmtId="0" fontId="29" fillId="17" borderId="166" xfId="7" applyFont="1" applyBorder="1" applyAlignment="1">
      <alignment horizontal="center" vertical="center" shrinkToFit="1"/>
    </xf>
    <xf numFmtId="0" fontId="29" fillId="14" borderId="156" xfId="0" applyFont="1" applyFill="1" applyBorder="1" applyAlignment="1">
      <alignment horizontal="center" vertical="center" shrinkToFit="1"/>
    </xf>
    <xf numFmtId="1" fontId="29" fillId="17" borderId="155" xfId="7" applyNumberFormat="1" applyFont="1" applyBorder="1" applyAlignment="1">
      <alignment horizontal="center" vertical="center" shrinkToFit="1"/>
    </xf>
    <xf numFmtId="1" fontId="29" fillId="14" borderId="157" xfId="9" applyNumberFormat="1" applyFont="1" applyBorder="1" applyAlignment="1">
      <alignment horizontal="center" vertical="center" shrinkToFit="1"/>
    </xf>
    <xf numFmtId="1" fontId="29" fillId="14" borderId="166" xfId="9" applyNumberFormat="1" applyFont="1" applyBorder="1" applyAlignment="1">
      <alignment horizontal="center" vertical="center" shrinkToFit="1"/>
    </xf>
    <xf numFmtId="1" fontId="29" fillId="14" borderId="242" xfId="9" applyNumberFormat="1" applyFont="1" applyBorder="1" applyAlignment="1">
      <alignment horizontal="center" vertical="center" shrinkToFit="1"/>
    </xf>
    <xf numFmtId="1" fontId="29" fillId="14" borderId="156" xfId="9" applyNumberFormat="1" applyFont="1" applyBorder="1" applyAlignment="1">
      <alignment horizontal="center" vertical="center" shrinkToFit="1"/>
    </xf>
    <xf numFmtId="1" fontId="29" fillId="17" borderId="242" xfId="7" applyNumberFormat="1" applyFont="1" applyBorder="1" applyAlignment="1">
      <alignment horizontal="center" vertical="center" shrinkToFit="1"/>
    </xf>
    <xf numFmtId="1" fontId="29" fillId="17" borderId="162" xfId="7" applyNumberFormat="1" applyFont="1" applyBorder="1" applyAlignment="1">
      <alignment horizontal="center" vertical="center" shrinkToFit="1"/>
    </xf>
    <xf numFmtId="0" fontId="29" fillId="15" borderId="67" xfId="2" applyFont="1" applyBorder="1" applyAlignment="1">
      <alignment horizontal="center" vertical="center" shrinkToFit="1"/>
    </xf>
    <xf numFmtId="1" fontId="29" fillId="15" borderId="157" xfId="2" applyNumberFormat="1" applyFont="1" applyBorder="1" applyAlignment="1">
      <alignment horizontal="center" vertical="center" shrinkToFit="1"/>
    </xf>
    <xf numFmtId="0" fontId="29" fillId="15" borderId="226" xfId="2" applyFont="1" applyBorder="1" applyAlignment="1">
      <alignment horizontal="center" vertical="center" shrinkToFit="1"/>
    </xf>
    <xf numFmtId="1" fontId="29" fillId="15" borderId="166" xfId="2" applyNumberFormat="1" applyFont="1" applyBorder="1" applyAlignment="1">
      <alignment horizontal="center" vertical="center" shrinkToFit="1"/>
    </xf>
    <xf numFmtId="1" fontId="0" fillId="17" borderId="6" xfId="7" applyNumberFormat="1" applyFont="1" applyBorder="1" applyAlignment="1">
      <alignment horizontal="center" vertical="center" shrinkToFit="1"/>
    </xf>
    <xf numFmtId="1" fontId="0" fillId="14" borderId="81" xfId="9" applyNumberFormat="1" applyFont="1" applyBorder="1" applyAlignment="1">
      <alignment horizontal="center" vertical="center" shrinkToFit="1"/>
    </xf>
    <xf numFmtId="1" fontId="29" fillId="17" borderId="8" xfId="7" applyNumberFormat="1" applyFont="1" applyBorder="1" applyAlignment="1">
      <alignment horizontal="center" vertical="center" shrinkToFit="1"/>
    </xf>
    <xf numFmtId="1" fontId="29" fillId="14" borderId="9" xfId="9" applyNumberFormat="1" applyFont="1" applyBorder="1" applyAlignment="1">
      <alignment horizontal="center" vertical="center" shrinkToFit="1"/>
    </xf>
    <xf numFmtId="1" fontId="29" fillId="17" borderId="10" xfId="7" applyNumberFormat="1" applyFont="1" applyBorder="1" applyAlignment="1">
      <alignment horizontal="center" vertical="center" shrinkToFit="1"/>
    </xf>
    <xf numFmtId="1" fontId="29" fillId="17" borderId="1" xfId="7" applyNumberFormat="1" applyFont="1" applyBorder="1" applyAlignment="1">
      <alignment horizontal="center" vertical="center" shrinkToFit="1"/>
    </xf>
    <xf numFmtId="1" fontId="29" fillId="17" borderId="9" xfId="7" applyNumberFormat="1" applyFont="1" applyBorder="1" applyAlignment="1">
      <alignment horizontal="center" vertical="center" shrinkToFit="1"/>
    </xf>
    <xf numFmtId="1" fontId="0" fillId="17" borderId="9" xfId="7" applyNumberFormat="1" applyFont="1" applyBorder="1" applyAlignment="1">
      <alignment horizontal="center" vertical="center" shrinkToFit="1"/>
    </xf>
    <xf numFmtId="1" fontId="0" fillId="17" borderId="1" xfId="7" applyNumberFormat="1" applyFont="1" applyBorder="1" applyAlignment="1">
      <alignment horizontal="center" vertical="center" shrinkToFit="1"/>
    </xf>
    <xf numFmtId="1" fontId="0" fillId="17" borderId="10" xfId="7" applyNumberFormat="1" applyFont="1" applyBorder="1" applyAlignment="1">
      <alignment horizontal="center" vertical="center" shrinkToFit="1"/>
    </xf>
    <xf numFmtId="1" fontId="0" fillId="17" borderId="7" xfId="7" applyNumberFormat="1" applyFont="1" applyBorder="1" applyAlignment="1">
      <alignment horizontal="center" vertical="center" shrinkToFit="1"/>
    </xf>
    <xf numFmtId="0" fontId="29" fillId="17" borderId="199" xfId="0" applyFont="1" applyFill="1" applyBorder="1" applyAlignment="1">
      <alignment horizontal="center" vertical="center" shrinkToFit="1"/>
    </xf>
    <xf numFmtId="0" fontId="29" fillId="14" borderId="199" xfId="0" applyFont="1" applyFill="1" applyBorder="1" applyAlignment="1">
      <alignment horizontal="center" vertical="center" shrinkToFit="1"/>
    </xf>
    <xf numFmtId="0" fontId="29" fillId="14" borderId="249" xfId="0" applyFont="1" applyFill="1" applyBorder="1" applyAlignment="1">
      <alignment horizontal="center" vertical="center" shrinkToFit="1"/>
    </xf>
    <xf numFmtId="0" fontId="29" fillId="14" borderId="0" xfId="0" applyFont="1" applyFill="1" applyAlignment="1">
      <alignment horizontal="center" vertical="center" shrinkToFit="1"/>
    </xf>
    <xf numFmtId="0" fontId="29" fillId="15" borderId="247" xfId="2" applyFont="1" applyBorder="1" applyAlignment="1">
      <alignment horizontal="center" vertical="center" shrinkToFit="1"/>
    </xf>
    <xf numFmtId="1" fontId="29" fillId="15" borderId="250" xfId="2" applyNumberFormat="1" applyFont="1" applyBorder="1" applyAlignment="1">
      <alignment horizontal="center" vertical="center" shrinkToFit="1"/>
    </xf>
    <xf numFmtId="0" fontId="29" fillId="15" borderId="248" xfId="0" applyFont="1" applyFill="1" applyBorder="1" applyAlignment="1">
      <alignment horizontal="center" vertical="center" shrinkToFit="1"/>
    </xf>
    <xf numFmtId="0" fontId="29" fillId="15" borderId="251" xfId="2" applyFont="1" applyBorder="1" applyAlignment="1">
      <alignment horizontal="center" vertical="center" shrinkToFit="1"/>
    </xf>
    <xf numFmtId="1" fontId="0" fillId="16" borderId="12" xfId="4" applyNumberFormat="1" applyFont="1" applyAlignment="1">
      <alignment horizontal="center" vertical="center" shrinkToFit="1"/>
    </xf>
    <xf numFmtId="1" fontId="29" fillId="15" borderId="8" xfId="2" applyNumberFormat="1" applyFont="1" applyBorder="1" applyAlignment="1">
      <alignment horizontal="center" vertical="center" shrinkToFit="1"/>
    </xf>
    <xf numFmtId="1" fontId="29" fillId="15" borderId="1" xfId="2" applyNumberFormat="1" applyFont="1" applyBorder="1" applyAlignment="1">
      <alignment horizontal="center" vertical="center" shrinkToFit="1"/>
    </xf>
    <xf numFmtId="1" fontId="0" fillId="15" borderId="1" xfId="2" applyNumberFormat="1" applyFont="1" applyBorder="1" applyAlignment="1">
      <alignment horizontal="center" vertical="center" shrinkToFit="1"/>
    </xf>
    <xf numFmtId="0" fontId="29" fillId="3" borderId="12" xfId="5" applyFont="1" applyAlignment="1">
      <alignment horizontal="center" vertical="center" shrinkToFit="1"/>
    </xf>
    <xf numFmtId="3" fontId="29" fillId="15" borderId="252" xfId="0" applyNumberFormat="1" applyFont="1" applyFill="1" applyBorder="1" applyAlignment="1">
      <alignment horizontal="center" vertical="center" shrinkToFit="1"/>
    </xf>
    <xf numFmtId="3" fontId="29" fillId="15" borderId="253" xfId="2" applyNumberFormat="1" applyFont="1" applyBorder="1" applyAlignment="1">
      <alignment horizontal="center" vertical="center" shrinkToFit="1"/>
    </xf>
    <xf numFmtId="3" fontId="29" fillId="15" borderId="254" xfId="2" applyNumberFormat="1" applyFont="1" applyBorder="1" applyAlignment="1">
      <alignment horizontal="center" vertical="center" shrinkToFit="1"/>
    </xf>
    <xf numFmtId="0" fontId="29" fillId="15" borderId="28" xfId="2" applyFont="1" applyBorder="1" applyAlignment="1">
      <alignment horizontal="center" vertical="center" shrinkToFit="1"/>
    </xf>
    <xf numFmtId="0" fontId="29" fillId="15" borderId="188" xfId="2" applyFont="1" applyBorder="1" applyAlignment="1">
      <alignment horizontal="center" vertical="center" shrinkToFit="1"/>
    </xf>
    <xf numFmtId="0" fontId="29" fillId="15" borderId="205" xfId="2" applyFont="1" applyBorder="1" applyAlignment="1">
      <alignment horizontal="center" vertical="center" shrinkToFit="1"/>
    </xf>
    <xf numFmtId="1" fontId="0" fillId="15" borderId="188" xfId="2" applyNumberFormat="1" applyFont="1" applyBorder="1" applyAlignment="1">
      <alignment horizontal="center" vertical="center" shrinkToFit="1"/>
    </xf>
    <xf numFmtId="0" fontId="0" fillId="15" borderId="76" xfId="2" applyFont="1" applyBorder="1" applyAlignment="1">
      <alignment horizontal="center" vertical="center" shrinkToFit="1"/>
    </xf>
    <xf numFmtId="1" fontId="0" fillId="15" borderId="9" xfId="2" applyNumberFormat="1" applyFont="1" applyBorder="1" applyAlignment="1">
      <alignment horizontal="center" vertical="center" shrinkToFit="1"/>
    </xf>
    <xf numFmtId="1" fontId="0" fillId="15" borderId="76" xfId="2" applyNumberFormat="1" applyFont="1" applyBorder="1" applyAlignment="1">
      <alignment horizontal="center" vertical="center" shrinkToFit="1"/>
    </xf>
    <xf numFmtId="1" fontId="0" fillId="15" borderId="67" xfId="2" applyNumberFormat="1" applyFont="1" applyBorder="1" applyAlignment="1">
      <alignment horizontal="center" vertical="center" shrinkToFit="1"/>
    </xf>
    <xf numFmtId="0" fontId="0" fillId="16" borderId="12" xfId="4" applyFont="1" applyAlignment="1">
      <alignment horizontal="center" vertical="center" shrinkToFit="1"/>
    </xf>
    <xf numFmtId="1" fontId="29" fillId="3" borderId="12" xfId="5" applyNumberFormat="1" applyFont="1" applyAlignment="1">
      <alignment horizontal="center" vertical="center" shrinkToFit="1"/>
    </xf>
    <xf numFmtId="0" fontId="29" fillId="15" borderId="242" xfId="2" applyFont="1" applyBorder="1" applyAlignment="1">
      <alignment horizontal="center" vertical="center"/>
    </xf>
    <xf numFmtId="0" fontId="29" fillId="15" borderId="223" xfId="2" applyFont="1" applyBorder="1" applyAlignment="1">
      <alignment horizontal="center" vertical="center"/>
    </xf>
    <xf numFmtId="0" fontId="0" fillId="4" borderId="200" xfId="0" applyFill="1" applyBorder="1" applyAlignment="1">
      <alignment horizontal="center" vertical="center" shrinkToFit="1"/>
    </xf>
    <xf numFmtId="0" fontId="0" fillId="4" borderId="144" xfId="0" applyFill="1" applyBorder="1" applyAlignment="1">
      <alignment horizontal="center" vertical="center" shrinkToFit="1"/>
    </xf>
    <xf numFmtId="0" fontId="29" fillId="17" borderId="200" xfId="0" applyFont="1" applyFill="1" applyBorder="1" applyAlignment="1">
      <alignment horizontal="center" vertical="center"/>
    </xf>
    <xf numFmtId="0" fontId="29" fillId="17" borderId="144" xfId="0" applyFont="1" applyFill="1" applyBorder="1" applyAlignment="1">
      <alignment horizontal="center" vertical="center"/>
    </xf>
    <xf numFmtId="0" fontId="29" fillId="14" borderId="200" xfId="0" applyFont="1" applyFill="1" applyBorder="1" applyAlignment="1">
      <alignment horizontal="center" vertical="center"/>
    </xf>
    <xf numFmtId="0" fontId="29" fillId="14" borderId="144" xfId="0" applyFont="1" applyFill="1" applyBorder="1" applyAlignment="1">
      <alignment horizontal="center" vertical="center"/>
    </xf>
    <xf numFmtId="0" fontId="30" fillId="2" borderId="212" xfId="0" applyFont="1" applyFill="1" applyBorder="1" applyAlignment="1">
      <alignment horizontal="center" vertical="center" shrinkToFit="1"/>
    </xf>
    <xf numFmtId="0" fontId="0" fillId="2" borderId="55" xfId="0" applyFill="1" applyBorder="1" applyAlignment="1"/>
    <xf numFmtId="0" fontId="0" fillId="2" borderId="115" xfId="0" applyFill="1" applyBorder="1" applyAlignment="1"/>
    <xf numFmtId="0" fontId="30" fillId="2" borderId="115" xfId="0" applyFont="1" applyFill="1" applyBorder="1" applyAlignment="1">
      <alignment horizontal="center" vertical="center" shrinkToFit="1"/>
    </xf>
    <xf numFmtId="0" fontId="30" fillId="2" borderId="108" xfId="0" applyFont="1" applyFill="1" applyBorder="1" applyAlignment="1">
      <alignment horizontal="center" vertical="center" shrinkToFit="1"/>
    </xf>
    <xf numFmtId="0" fontId="29" fillId="0" borderId="82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2" fillId="7" borderId="85" xfId="0" applyFont="1" applyFill="1" applyBorder="1" applyAlignment="1">
      <alignment horizontal="center" vertical="center"/>
    </xf>
    <xf numFmtId="0" fontId="32" fillId="7" borderId="144" xfId="0" applyFont="1" applyFill="1" applyBorder="1" applyAlignment="1">
      <alignment horizontal="center" vertical="center"/>
    </xf>
    <xf numFmtId="0" fontId="32" fillId="7" borderId="171" xfId="0" applyFont="1" applyFill="1" applyBorder="1" applyAlignment="1">
      <alignment horizontal="center" vertical="center"/>
    </xf>
    <xf numFmtId="0" fontId="32" fillId="7" borderId="173" xfId="0" applyFont="1" applyFill="1" applyBorder="1" applyAlignment="1">
      <alignment horizontal="center" vertical="center"/>
    </xf>
    <xf numFmtId="0" fontId="32" fillId="7" borderId="24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31" fillId="6" borderId="31" xfId="0" applyFont="1" applyFill="1" applyBorder="1" applyAlignment="1">
      <alignment horizontal="center" vertical="center"/>
    </xf>
    <xf numFmtId="0" fontId="32" fillId="6" borderId="85" xfId="0" applyFont="1" applyFill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41" fillId="0" borderId="81" xfId="0" applyFont="1" applyBorder="1" applyAlignment="1">
      <alignment horizontal="center" vertical="center" shrinkToFit="1"/>
    </xf>
    <xf numFmtId="0" fontId="41" fillId="0" borderId="82" xfId="0" applyFont="1" applyBorder="1" applyAlignment="1">
      <alignment horizontal="center" vertical="center" shrinkToFit="1"/>
    </xf>
    <xf numFmtId="0" fontId="41" fillId="0" borderId="28" xfId="0" applyFont="1" applyBorder="1" applyAlignment="1">
      <alignment horizontal="center" vertical="center" shrinkToFit="1"/>
    </xf>
    <xf numFmtId="0" fontId="41" fillId="0" borderId="186" xfId="0" applyFont="1" applyBorder="1" applyAlignment="1">
      <alignment horizontal="center" vertical="center" shrinkToFit="1"/>
    </xf>
    <xf numFmtId="0" fontId="41" fillId="0" borderId="17" xfId="0" applyFont="1" applyBorder="1" applyAlignment="1">
      <alignment horizontal="center" vertical="center" shrinkToFit="1"/>
    </xf>
    <xf numFmtId="0" fontId="4" fillId="2" borderId="29" xfId="0" applyFont="1" applyFill="1" applyBorder="1" applyAlignment="1">
      <alignment horizontal="center" vertical="center" wrapText="1" shrinkToFit="1"/>
    </xf>
    <xf numFmtId="0" fontId="4" fillId="2" borderId="0" xfId="0" applyFont="1" applyFill="1" applyAlignment="1">
      <alignment horizontal="center" vertical="center" wrapText="1" shrinkToFit="1"/>
    </xf>
    <xf numFmtId="0" fontId="4" fillId="2" borderId="31" xfId="0" applyFont="1" applyFill="1" applyBorder="1" applyAlignment="1">
      <alignment horizontal="center" vertical="center" wrapText="1" shrinkToFit="1"/>
    </xf>
    <xf numFmtId="0" fontId="29" fillId="0" borderId="73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85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83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86" xfId="0" applyFont="1" applyBorder="1" applyAlignment="1">
      <alignment horizontal="center" vertical="center"/>
    </xf>
    <xf numFmtId="177" fontId="40" fillId="9" borderId="119" xfId="1" applyNumberFormat="1" applyFont="1" applyFill="1" applyBorder="1" applyAlignment="1">
      <alignment horizontal="center" vertical="center"/>
    </xf>
    <xf numFmtId="177" fontId="40" fillId="9" borderId="120" xfId="1" applyNumberFormat="1" applyFont="1" applyFill="1" applyBorder="1" applyAlignment="1">
      <alignment horizontal="center" vertical="center"/>
    </xf>
    <xf numFmtId="177" fontId="40" fillId="9" borderId="0" xfId="1" applyNumberFormat="1" applyFont="1" applyFill="1" applyBorder="1" applyAlignment="1">
      <alignment horizontal="center" vertical="center"/>
    </xf>
    <xf numFmtId="177" fontId="40" fillId="9" borderId="15" xfId="1" applyNumberFormat="1" applyFont="1" applyFill="1" applyBorder="1" applyAlignment="1">
      <alignment horizontal="center" vertical="center"/>
    </xf>
    <xf numFmtId="177" fontId="40" fillId="9" borderId="84" xfId="1" applyNumberFormat="1" applyFont="1" applyFill="1" applyBorder="1" applyAlignment="1">
      <alignment horizontal="center" vertical="center"/>
    </xf>
    <xf numFmtId="177" fontId="40" fillId="9" borderId="87" xfId="1" applyNumberFormat="1" applyFont="1" applyFill="1" applyBorder="1" applyAlignment="1">
      <alignment horizontal="center" vertical="center"/>
    </xf>
    <xf numFmtId="0" fontId="30" fillId="2" borderId="213" xfId="0" applyFont="1" applyFill="1" applyBorder="1" applyAlignment="1">
      <alignment horizontal="center" vertical="center" shrinkToFit="1"/>
    </xf>
    <xf numFmtId="0" fontId="0" fillId="2" borderId="214" xfId="0" applyFill="1" applyBorder="1" applyAlignment="1"/>
    <xf numFmtId="0" fontId="0" fillId="2" borderId="215" xfId="0" applyFill="1" applyBorder="1" applyAlignment="1"/>
    <xf numFmtId="0" fontId="30" fillId="2" borderId="216" xfId="0" applyFont="1" applyFill="1" applyBorder="1" applyAlignment="1">
      <alignment horizontal="center" vertical="center" shrinkToFit="1"/>
    </xf>
    <xf numFmtId="0" fontId="30" fillId="2" borderId="118" xfId="0" applyFont="1" applyFill="1" applyBorder="1" applyAlignment="1">
      <alignment horizontal="center" vertical="center" shrinkToFit="1"/>
    </xf>
    <xf numFmtId="0" fontId="30" fillId="2" borderId="119" xfId="0" applyFont="1" applyFill="1" applyBorder="1" applyAlignment="1">
      <alignment horizontal="center" vertical="center" shrinkToFit="1"/>
    </xf>
    <xf numFmtId="0" fontId="30" fillId="2" borderId="120" xfId="0" applyFont="1" applyFill="1" applyBorder="1" applyAlignment="1">
      <alignment horizontal="center" vertical="center" shrinkToFit="1"/>
    </xf>
    <xf numFmtId="0" fontId="29" fillId="0" borderId="192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79" xfId="0" applyFont="1" applyBorder="1" applyAlignment="1">
      <alignment horizontal="center" vertical="center"/>
    </xf>
    <xf numFmtId="0" fontId="30" fillId="2" borderId="55" xfId="0" applyFont="1" applyFill="1" applyBorder="1" applyAlignment="1">
      <alignment horizontal="center" vertical="center" shrinkToFit="1"/>
    </xf>
    <xf numFmtId="0" fontId="30" fillId="2" borderId="114" xfId="0" applyFont="1" applyFill="1" applyBorder="1" applyAlignment="1">
      <alignment horizontal="center" vertical="center" shrinkToFit="1"/>
    </xf>
    <xf numFmtId="0" fontId="32" fillId="6" borderId="171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 vertical="center"/>
    </xf>
    <xf numFmtId="0" fontId="31" fillId="6" borderId="83" xfId="0" applyFont="1" applyFill="1" applyBorder="1" applyAlignment="1">
      <alignment horizontal="center" vertical="center"/>
    </xf>
    <xf numFmtId="0" fontId="31" fillId="6" borderId="26" xfId="0" applyFont="1" applyFill="1" applyBorder="1" applyAlignment="1">
      <alignment horizontal="center" vertical="center"/>
    </xf>
    <xf numFmtId="0" fontId="31" fillId="7" borderId="118" xfId="0" applyFont="1" applyFill="1" applyBorder="1" applyAlignment="1">
      <alignment horizontal="center" vertical="center"/>
    </xf>
    <xf numFmtId="0" fontId="31" fillId="7" borderId="121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1" fillId="7" borderId="122" xfId="0" applyFont="1" applyFill="1" applyBorder="1" applyAlignment="1">
      <alignment horizontal="center" vertical="center"/>
    </xf>
    <xf numFmtId="0" fontId="31" fillId="7" borderId="123" xfId="0" applyFont="1" applyFill="1" applyBorder="1" applyAlignment="1">
      <alignment horizontal="center" vertical="center"/>
    </xf>
    <xf numFmtId="0" fontId="39" fillId="9" borderId="119" xfId="0" applyFont="1" applyFill="1" applyBorder="1" applyAlignment="1">
      <alignment horizontal="center" vertical="center" wrapText="1"/>
    </xf>
    <xf numFmtId="0" fontId="39" fillId="9" borderId="119" xfId="0" applyFont="1" applyFill="1" applyBorder="1" applyAlignment="1">
      <alignment horizontal="center" vertical="center"/>
    </xf>
    <xf numFmtId="0" fontId="39" fillId="9" borderId="120" xfId="0" applyFont="1" applyFill="1" applyBorder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9" fillId="9" borderId="15" xfId="0" applyFont="1" applyFill="1" applyBorder="1" applyAlignment="1">
      <alignment horizontal="center" vertical="center"/>
    </xf>
    <xf numFmtId="0" fontId="39" fillId="9" borderId="84" xfId="0" applyFont="1" applyFill="1" applyBorder="1" applyAlignment="1">
      <alignment horizontal="center" vertical="center"/>
    </xf>
    <xf numFmtId="0" fontId="39" fillId="9" borderId="87" xfId="0" applyFont="1" applyFill="1" applyBorder="1" applyAlignment="1">
      <alignment horizontal="center" vertical="center"/>
    </xf>
    <xf numFmtId="177" fontId="40" fillId="9" borderId="118" xfId="1" applyNumberFormat="1" applyFont="1" applyFill="1" applyBorder="1" applyAlignment="1">
      <alignment horizontal="center" vertical="center"/>
    </xf>
    <xf numFmtId="177" fontId="40" fillId="9" borderId="5" xfId="1" applyNumberFormat="1" applyFont="1" applyFill="1" applyBorder="1" applyAlignment="1">
      <alignment horizontal="center" vertical="center"/>
    </xf>
    <xf numFmtId="177" fontId="40" fillId="9" borderId="83" xfId="1" applyNumberFormat="1" applyFont="1" applyFill="1" applyBorder="1" applyAlignment="1">
      <alignment horizontal="center" vertical="center"/>
    </xf>
    <xf numFmtId="0" fontId="32" fillId="7" borderId="22" xfId="0" applyFont="1" applyFill="1" applyBorder="1" applyAlignment="1">
      <alignment horizontal="center" vertical="center"/>
    </xf>
    <xf numFmtId="0" fontId="32" fillId="6" borderId="24" xfId="0" applyFont="1" applyFill="1" applyBorder="1" applyAlignment="1">
      <alignment horizontal="center" vertical="center"/>
    </xf>
    <xf numFmtId="179" fontId="31" fillId="7" borderId="24" xfId="0" applyNumberFormat="1" applyFont="1" applyFill="1" applyBorder="1" applyAlignment="1">
      <alignment horizontal="center" vertical="center"/>
    </xf>
    <xf numFmtId="179" fontId="31" fillId="7" borderId="22" xfId="0" applyNumberFormat="1" applyFont="1" applyFill="1" applyBorder="1" applyAlignment="1">
      <alignment horizontal="center" vertical="center"/>
    </xf>
    <xf numFmtId="177" fontId="31" fillId="7" borderId="24" xfId="1" applyNumberFormat="1" applyFont="1" applyFill="1" applyBorder="1" applyAlignment="1">
      <alignment horizontal="center" vertical="center"/>
    </xf>
    <xf numFmtId="177" fontId="31" fillId="7" borderId="32" xfId="1" applyNumberFormat="1" applyFont="1" applyFill="1" applyBorder="1" applyAlignment="1">
      <alignment horizontal="center" vertical="center"/>
    </xf>
    <xf numFmtId="177" fontId="31" fillId="7" borderId="22" xfId="1" applyNumberFormat="1" applyFont="1" applyFill="1" applyBorder="1" applyAlignment="1">
      <alignment horizontal="center" vertical="center"/>
    </xf>
    <xf numFmtId="177" fontId="31" fillId="7" borderId="27" xfId="1" applyNumberFormat="1" applyFont="1" applyFill="1" applyBorder="1" applyAlignment="1">
      <alignment horizontal="center" vertical="center"/>
    </xf>
    <xf numFmtId="179" fontId="31" fillId="6" borderId="24" xfId="0" applyNumberFormat="1" applyFont="1" applyFill="1" applyBorder="1" applyAlignment="1">
      <alignment horizontal="center" vertical="center"/>
    </xf>
    <xf numFmtId="179" fontId="31" fillId="6" borderId="22" xfId="0" applyNumberFormat="1" applyFont="1" applyFill="1" applyBorder="1" applyAlignment="1">
      <alignment horizontal="center" vertical="center"/>
    </xf>
    <xf numFmtId="177" fontId="31" fillId="6" borderId="145" xfId="1" applyNumberFormat="1" applyFont="1" applyFill="1" applyBorder="1" applyAlignment="1">
      <alignment horizontal="center" vertical="center"/>
    </xf>
    <xf numFmtId="177" fontId="31" fillId="6" borderId="120" xfId="1" applyNumberFormat="1" applyFont="1" applyFill="1" applyBorder="1" applyAlignment="1">
      <alignment horizontal="center" vertical="center"/>
    </xf>
    <xf numFmtId="177" fontId="31" fillId="6" borderId="86" xfId="1" applyNumberFormat="1" applyFont="1" applyFill="1" applyBorder="1" applyAlignment="1">
      <alignment horizontal="center" vertical="center"/>
    </xf>
    <xf numFmtId="177" fontId="31" fillId="6" borderId="87" xfId="1" applyNumberFormat="1" applyFont="1" applyFill="1" applyBorder="1" applyAlignment="1">
      <alignment horizontal="center" vertical="center"/>
    </xf>
    <xf numFmtId="0" fontId="31" fillId="5" borderId="118" xfId="0" applyFont="1" applyFill="1" applyBorder="1" applyAlignment="1">
      <alignment horizontal="center" vertical="center" wrapText="1"/>
    </xf>
    <xf numFmtId="0" fontId="31" fillId="5" borderId="120" xfId="0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7" xfId="0" applyFont="1" applyFill="1" applyBorder="1" applyAlignment="1">
      <alignment horizontal="center" vertical="center"/>
    </xf>
    <xf numFmtId="0" fontId="31" fillId="7" borderId="184" xfId="0" applyFont="1" applyFill="1" applyBorder="1" applyAlignment="1">
      <alignment horizontal="center" vertical="center"/>
    </xf>
    <xf numFmtId="0" fontId="31" fillId="7" borderId="151" xfId="0" applyFont="1" applyFill="1" applyBorder="1" applyAlignment="1">
      <alignment horizontal="center" vertical="center"/>
    </xf>
    <xf numFmtId="0" fontId="31" fillId="7" borderId="185" xfId="0" applyFont="1" applyFill="1" applyBorder="1" applyAlignment="1">
      <alignment horizontal="center" vertical="center"/>
    </xf>
    <xf numFmtId="0" fontId="31" fillId="7" borderId="161" xfId="0" applyFont="1" applyFill="1" applyBorder="1" applyAlignment="1">
      <alignment horizontal="center" vertical="center"/>
    </xf>
    <xf numFmtId="0" fontId="31" fillId="6" borderId="184" xfId="0" applyFont="1" applyFill="1" applyBorder="1" applyAlignment="1">
      <alignment horizontal="center" vertical="center"/>
    </xf>
    <xf numFmtId="0" fontId="31" fillId="6" borderId="151" xfId="0" applyFont="1" applyFill="1" applyBorder="1" applyAlignment="1">
      <alignment horizontal="center" vertical="center"/>
    </xf>
    <xf numFmtId="0" fontId="31" fillId="6" borderId="185" xfId="0" applyFont="1" applyFill="1" applyBorder="1" applyAlignment="1">
      <alignment horizontal="center" vertical="center"/>
    </xf>
    <xf numFmtId="0" fontId="31" fillId="6" borderId="161" xfId="0" applyFont="1" applyFill="1" applyBorder="1" applyAlignment="1">
      <alignment horizontal="center" vertical="center"/>
    </xf>
    <xf numFmtId="0" fontId="32" fillId="7" borderId="151" xfId="0" applyFont="1" applyFill="1" applyBorder="1" applyAlignment="1">
      <alignment horizontal="center" vertical="center"/>
    </xf>
    <xf numFmtId="0" fontId="32" fillId="7" borderId="156" xfId="0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 shrinkToFit="1"/>
    </xf>
    <xf numFmtId="0" fontId="0" fillId="2" borderId="40" xfId="0" applyFill="1" applyBorder="1" applyAlignment="1"/>
    <xf numFmtId="0" fontId="0" fillId="2" borderId="41" xfId="0" applyFill="1" applyBorder="1" applyAlignment="1"/>
    <xf numFmtId="0" fontId="30" fillId="2" borderId="41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61" xfId="0" applyFont="1" applyFill="1" applyBorder="1" applyAlignment="1">
      <alignment horizontal="center" vertical="center" shrinkToFit="1"/>
    </xf>
    <xf numFmtId="0" fontId="30" fillId="2" borderId="36" xfId="0" applyFont="1" applyFill="1" applyBorder="1" applyAlignment="1">
      <alignment horizontal="center" vertical="center" shrinkToFit="1"/>
    </xf>
    <xf numFmtId="0" fontId="0" fillId="0" borderId="8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0" fillId="2" borderId="58" xfId="0" applyFont="1" applyFill="1" applyBorder="1" applyAlignment="1">
      <alignment horizontal="center" vertical="center" shrinkToFit="1"/>
    </xf>
    <xf numFmtId="0" fontId="0" fillId="2" borderId="56" xfId="0" applyFill="1" applyBorder="1" applyAlignment="1"/>
    <xf numFmtId="0" fontId="0" fillId="2" borderId="59" xfId="0" applyFill="1" applyBorder="1" applyAlignment="1"/>
    <xf numFmtId="0" fontId="30" fillId="2" borderId="60" xfId="0" applyFont="1" applyFill="1" applyBorder="1" applyAlignment="1">
      <alignment horizontal="center" vertical="center" shrinkToFit="1"/>
    </xf>
    <xf numFmtId="0" fontId="0" fillId="2" borderId="57" xfId="0" applyFill="1" applyBorder="1" applyAlignment="1"/>
    <xf numFmtId="0" fontId="29" fillId="0" borderId="8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31" fillId="6" borderId="122" xfId="0" applyFont="1" applyFill="1" applyBorder="1" applyAlignment="1">
      <alignment horizontal="center" vertical="center"/>
    </xf>
    <xf numFmtId="0" fontId="31" fillId="6" borderId="123" xfId="0" applyFont="1" applyFill="1" applyBorder="1" applyAlignment="1">
      <alignment horizontal="center" vertical="center"/>
    </xf>
    <xf numFmtId="0" fontId="31" fillId="7" borderId="149" xfId="0" applyFont="1" applyFill="1" applyBorder="1" applyAlignment="1">
      <alignment horizontal="center" vertical="center"/>
    </xf>
    <xf numFmtId="0" fontId="31" fillId="7" borderId="150" xfId="0" applyFont="1" applyFill="1" applyBorder="1" applyAlignment="1">
      <alignment horizontal="center" vertical="center"/>
    </xf>
    <xf numFmtId="0" fontId="31" fillId="7" borderId="154" xfId="0" applyFont="1" applyFill="1" applyBorder="1" applyAlignment="1">
      <alignment horizontal="center" vertical="center"/>
    </xf>
    <xf numFmtId="0" fontId="31" fillId="7" borderId="155" xfId="0" applyFont="1" applyFill="1" applyBorder="1" applyAlignment="1">
      <alignment horizontal="center" vertical="center"/>
    </xf>
    <xf numFmtId="0" fontId="31" fillId="6" borderId="154" xfId="0" applyFont="1" applyFill="1" applyBorder="1" applyAlignment="1">
      <alignment horizontal="center" vertical="center"/>
    </xf>
    <xf numFmtId="0" fontId="31" fillId="6" borderId="155" xfId="0" applyFont="1" applyFill="1" applyBorder="1" applyAlignment="1">
      <alignment horizontal="center" vertical="center"/>
    </xf>
    <xf numFmtId="9" fontId="31" fillId="7" borderId="145" xfId="1" applyFont="1" applyFill="1" applyBorder="1" applyAlignment="1">
      <alignment horizontal="center" vertical="center"/>
    </xf>
    <xf numFmtId="9" fontId="31" fillId="7" borderId="121" xfId="1" applyFont="1" applyFill="1" applyBorder="1" applyAlignment="1">
      <alignment horizontal="center" vertical="center"/>
    </xf>
    <xf numFmtId="9" fontId="31" fillId="7" borderId="29" xfId="1" applyFont="1" applyFill="1" applyBorder="1" applyAlignment="1">
      <alignment horizontal="center" vertical="center"/>
    </xf>
    <xf numFmtId="9" fontId="31" fillId="7" borderId="31" xfId="1" applyFont="1" applyFill="1" applyBorder="1" applyAlignment="1">
      <alignment horizontal="center" vertical="center"/>
    </xf>
    <xf numFmtId="9" fontId="31" fillId="7" borderId="146" xfId="1" applyFont="1" applyFill="1" applyBorder="1" applyAlignment="1">
      <alignment horizontal="center" vertical="center"/>
    </xf>
    <xf numFmtId="9" fontId="31" fillId="7" borderId="123" xfId="1" applyFont="1" applyFill="1" applyBorder="1" applyAlignment="1">
      <alignment horizontal="center" vertical="center"/>
    </xf>
    <xf numFmtId="0" fontId="29" fillId="7" borderId="32" xfId="0" applyFont="1" applyFill="1" applyBorder="1" applyAlignment="1">
      <alignment horizontal="center" vertical="center"/>
    </xf>
    <xf numFmtId="0" fontId="29" fillId="7" borderId="79" xfId="0" applyFont="1" applyFill="1" applyBorder="1" applyAlignment="1">
      <alignment horizontal="center" vertical="center"/>
    </xf>
    <xf numFmtId="0" fontId="29" fillId="7" borderId="148" xfId="0" applyFont="1" applyFill="1" applyBorder="1" applyAlignment="1">
      <alignment horizontal="center" vertical="center"/>
    </xf>
    <xf numFmtId="0" fontId="32" fillId="6" borderId="144" xfId="0" applyFont="1" applyFill="1" applyBorder="1" applyAlignment="1">
      <alignment horizontal="center" vertical="center"/>
    </xf>
    <xf numFmtId="178" fontId="31" fillId="6" borderId="29" xfId="0" applyNumberFormat="1" applyFont="1" applyFill="1" applyBorder="1" applyAlignment="1">
      <alignment horizontal="center" vertical="center"/>
    </xf>
    <xf numFmtId="178" fontId="31" fillId="6" borderId="31" xfId="0" applyNumberFormat="1" applyFont="1" applyFill="1" applyBorder="1" applyAlignment="1">
      <alignment horizontal="center" vertical="center"/>
    </xf>
    <xf numFmtId="178" fontId="31" fillId="6" borderId="146" xfId="0" applyNumberFormat="1" applyFont="1" applyFill="1" applyBorder="1" applyAlignment="1">
      <alignment horizontal="center" vertical="center"/>
    </xf>
    <xf numFmtId="178" fontId="31" fillId="6" borderId="123" xfId="0" applyNumberFormat="1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/>
    </xf>
    <xf numFmtId="0" fontId="29" fillId="6" borderId="148" xfId="0" applyFont="1" applyFill="1" applyBorder="1" applyAlignment="1">
      <alignment horizontal="center" vertical="center"/>
    </xf>
    <xf numFmtId="178" fontId="31" fillId="6" borderId="86" xfId="0" applyNumberFormat="1" applyFont="1" applyFill="1" applyBorder="1" applyAlignment="1">
      <alignment horizontal="center" vertical="center"/>
    </xf>
    <xf numFmtId="178" fontId="31" fillId="6" borderId="26" xfId="0" applyNumberFormat="1" applyFont="1" applyFill="1" applyBorder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8" fontId="31" fillId="6" borderId="84" xfId="0" applyNumberFormat="1" applyFont="1" applyFill="1" applyBorder="1" applyAlignment="1">
      <alignment horizontal="center" vertical="center"/>
    </xf>
    <xf numFmtId="0" fontId="32" fillId="6" borderId="173" xfId="0" applyFont="1" applyFill="1" applyBorder="1" applyAlignment="1">
      <alignment horizontal="center" vertical="center"/>
    </xf>
    <xf numFmtId="178" fontId="31" fillId="6" borderId="172" xfId="0" applyNumberFormat="1" applyFont="1" applyFill="1" applyBorder="1" applyAlignment="1">
      <alignment horizontal="center" vertical="center"/>
    </xf>
    <xf numFmtId="178" fontId="31" fillId="6" borderId="175" xfId="0" applyNumberFormat="1" applyFont="1" applyFill="1" applyBorder="1" applyAlignment="1">
      <alignment horizontal="center" vertical="center"/>
    </xf>
    <xf numFmtId="0" fontId="32" fillId="6" borderId="31" xfId="0" applyFont="1" applyFill="1" applyBorder="1" applyAlignment="1">
      <alignment horizontal="center" vertical="center"/>
    </xf>
    <xf numFmtId="0" fontId="32" fillId="6" borderId="123" xfId="0" applyFont="1" applyFill="1" applyBorder="1" applyAlignment="1">
      <alignment horizontal="center" vertical="center"/>
    </xf>
    <xf numFmtId="9" fontId="31" fillId="6" borderId="29" xfId="1" applyFont="1" applyFill="1" applyBorder="1" applyAlignment="1">
      <alignment horizontal="center" vertical="center"/>
    </xf>
    <xf numFmtId="9" fontId="31" fillId="6" borderId="31" xfId="1" applyFont="1" applyFill="1" applyBorder="1" applyAlignment="1">
      <alignment horizontal="center" vertical="center"/>
    </xf>
    <xf numFmtId="9" fontId="31" fillId="6" borderId="86" xfId="1" applyFont="1" applyFill="1" applyBorder="1" applyAlignment="1">
      <alignment horizontal="center" vertical="center"/>
    </xf>
    <xf numFmtId="9" fontId="31" fillId="6" borderId="26" xfId="1" applyFont="1" applyFill="1" applyBorder="1" applyAlignment="1">
      <alignment horizontal="center" vertical="center"/>
    </xf>
    <xf numFmtId="0" fontId="29" fillId="6" borderId="27" xfId="0" applyFont="1" applyFill="1" applyBorder="1" applyAlignment="1">
      <alignment horizontal="center" vertical="center"/>
    </xf>
    <xf numFmtId="178" fontId="31" fillId="6" borderId="174" xfId="0" applyNumberFormat="1" applyFont="1" applyFill="1" applyBorder="1" applyAlignment="1">
      <alignment horizontal="center" vertical="center"/>
    </xf>
    <xf numFmtId="9" fontId="31" fillId="6" borderId="146" xfId="1" applyFont="1" applyFill="1" applyBorder="1" applyAlignment="1">
      <alignment horizontal="center" vertical="center"/>
    </xf>
    <xf numFmtId="9" fontId="31" fillId="6" borderId="123" xfId="1" applyFont="1" applyFill="1" applyBorder="1" applyAlignment="1">
      <alignment horizontal="center" vertical="center"/>
    </xf>
    <xf numFmtId="178" fontId="31" fillId="6" borderId="164" xfId="0" applyNumberFormat="1" applyFont="1" applyFill="1" applyBorder="1" applyAlignment="1">
      <alignment horizontal="center" vertical="center"/>
    </xf>
    <xf numFmtId="9" fontId="31" fillId="7" borderId="152" xfId="1" applyFont="1" applyFill="1" applyBorder="1" applyAlignment="1">
      <alignment horizontal="center" vertical="center"/>
    </xf>
    <xf numFmtId="9" fontId="31" fillId="7" borderId="150" xfId="1" applyFont="1" applyFill="1" applyBorder="1" applyAlignment="1">
      <alignment horizontal="center" vertical="center"/>
    </xf>
    <xf numFmtId="9" fontId="31" fillId="7" borderId="157" xfId="1" applyFont="1" applyFill="1" applyBorder="1" applyAlignment="1">
      <alignment horizontal="center" vertical="center"/>
    </xf>
    <xf numFmtId="9" fontId="31" fillId="7" borderId="155" xfId="1" applyFont="1" applyFill="1" applyBorder="1" applyAlignment="1">
      <alignment horizontal="center" vertical="center"/>
    </xf>
    <xf numFmtId="0" fontId="29" fillId="7" borderId="153" xfId="0" applyFont="1" applyFill="1" applyBorder="1" applyAlignment="1">
      <alignment horizontal="center" vertical="center"/>
    </xf>
    <xf numFmtId="0" fontId="29" fillId="7" borderId="158" xfId="0" applyFont="1" applyFill="1" applyBorder="1" applyAlignment="1">
      <alignment horizontal="center" vertical="center"/>
    </xf>
    <xf numFmtId="0" fontId="32" fillId="6" borderId="156" xfId="0" applyFont="1" applyFill="1" applyBorder="1" applyAlignment="1">
      <alignment horizontal="center" vertical="center"/>
    </xf>
    <xf numFmtId="178" fontId="31" fillId="6" borderId="157" xfId="0" applyNumberFormat="1" applyFont="1" applyFill="1" applyBorder="1" applyAlignment="1">
      <alignment horizontal="center" vertical="center"/>
    </xf>
    <xf numFmtId="178" fontId="31" fillId="6" borderId="155" xfId="0" applyNumberFormat="1" applyFont="1" applyFill="1" applyBorder="1" applyAlignment="1">
      <alignment horizontal="center" vertical="center"/>
    </xf>
    <xf numFmtId="178" fontId="31" fillId="6" borderId="179" xfId="0" applyNumberFormat="1" applyFont="1" applyFill="1" applyBorder="1" applyAlignment="1">
      <alignment horizontal="center" vertical="center"/>
    </xf>
    <xf numFmtId="0" fontId="32" fillId="6" borderId="155" xfId="0" applyFont="1" applyFill="1" applyBorder="1" applyAlignment="1">
      <alignment horizontal="center" vertical="center"/>
    </xf>
    <xf numFmtId="9" fontId="31" fillId="6" borderId="157" xfId="1" applyFont="1" applyFill="1" applyBorder="1" applyAlignment="1">
      <alignment horizontal="center" vertical="center"/>
    </xf>
    <xf numFmtId="9" fontId="31" fillId="6" borderId="155" xfId="1" applyFont="1" applyFill="1" applyBorder="1" applyAlignment="1">
      <alignment horizontal="center" vertical="center"/>
    </xf>
    <xf numFmtId="178" fontId="31" fillId="6" borderId="166" xfId="0" applyNumberFormat="1" applyFont="1" applyFill="1" applyBorder="1" applyAlignment="1">
      <alignment horizontal="center" vertical="center"/>
    </xf>
    <xf numFmtId="0" fontId="32" fillId="6" borderId="178" xfId="0" applyFont="1" applyFill="1" applyBorder="1" applyAlignment="1">
      <alignment horizontal="center" vertical="center"/>
    </xf>
    <xf numFmtId="9" fontId="31" fillId="6" borderId="162" xfId="1" applyFont="1" applyFill="1" applyBorder="1" applyAlignment="1">
      <alignment horizontal="center" vertical="center"/>
    </xf>
    <xf numFmtId="9" fontId="31" fillId="6" borderId="160" xfId="1" applyFont="1" applyFill="1" applyBorder="1" applyAlignment="1">
      <alignment horizontal="center" vertical="center"/>
    </xf>
    <xf numFmtId="0" fontId="32" fillId="6" borderId="161" xfId="0" applyFont="1" applyFill="1" applyBorder="1" applyAlignment="1">
      <alignment horizontal="center" vertical="center"/>
    </xf>
    <xf numFmtId="178" fontId="31" fillId="6" borderId="162" xfId="0" applyNumberFormat="1" applyFont="1" applyFill="1" applyBorder="1" applyAlignment="1">
      <alignment horizontal="center" vertical="center"/>
    </xf>
    <xf numFmtId="178" fontId="31" fillId="6" borderId="160" xfId="0" applyNumberFormat="1" applyFont="1" applyFill="1" applyBorder="1" applyAlignment="1">
      <alignment horizontal="center" vertical="center"/>
    </xf>
    <xf numFmtId="178" fontId="31" fillId="6" borderId="167" xfId="0" applyNumberFormat="1" applyFont="1" applyFill="1" applyBorder="1" applyAlignment="1">
      <alignment horizontal="center" vertical="center"/>
    </xf>
    <xf numFmtId="0" fontId="32" fillId="6" borderId="180" xfId="0" applyFont="1" applyFill="1" applyBorder="1" applyAlignment="1">
      <alignment horizontal="center" vertical="center"/>
    </xf>
    <xf numFmtId="0" fontId="29" fillId="6" borderId="147" xfId="0" applyFont="1" applyFill="1" applyBorder="1" applyAlignment="1">
      <alignment horizontal="center" vertical="center"/>
    </xf>
    <xf numFmtId="0" fontId="29" fillId="6" borderId="158" xfId="0" applyFont="1" applyFill="1" applyBorder="1" applyAlignment="1">
      <alignment horizontal="center" vertical="center"/>
    </xf>
    <xf numFmtId="0" fontId="24" fillId="5" borderId="118" xfId="0" applyFont="1" applyFill="1" applyBorder="1" applyAlignment="1">
      <alignment horizontal="center" vertical="center" shrinkToFit="1"/>
    </xf>
    <xf numFmtId="0" fontId="24" fillId="5" borderId="120" xfId="0" applyFont="1" applyFill="1" applyBorder="1" applyAlignment="1">
      <alignment horizontal="center" vertical="center" shrinkToFit="1"/>
    </xf>
    <xf numFmtId="0" fontId="24" fillId="5" borderId="5" xfId="0" applyFont="1" applyFill="1" applyBorder="1" applyAlignment="1">
      <alignment horizontal="center" vertical="center" shrinkToFit="1"/>
    </xf>
    <xf numFmtId="0" fontId="24" fillId="5" borderId="15" xfId="0" applyFont="1" applyFill="1" applyBorder="1" applyAlignment="1">
      <alignment horizontal="center" vertical="center" shrinkToFit="1"/>
    </xf>
    <xf numFmtId="0" fontId="24" fillId="5" borderId="83" xfId="0" applyFont="1" applyFill="1" applyBorder="1" applyAlignment="1">
      <alignment horizontal="center" vertical="center" shrinkToFit="1"/>
    </xf>
    <xf numFmtId="0" fontId="24" fillId="5" borderId="87" xfId="0" applyFont="1" applyFill="1" applyBorder="1" applyAlignment="1">
      <alignment horizontal="center" vertical="center" shrinkToFit="1"/>
    </xf>
    <xf numFmtId="0" fontId="0" fillId="0" borderId="124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178" fontId="31" fillId="7" borderId="145" xfId="0" applyNumberFormat="1" applyFont="1" applyFill="1" applyBorder="1" applyAlignment="1">
      <alignment horizontal="center" vertical="center"/>
    </xf>
    <xf numFmtId="178" fontId="31" fillId="7" borderId="121" xfId="0" applyNumberFormat="1" applyFont="1" applyFill="1" applyBorder="1" applyAlignment="1">
      <alignment horizontal="center" vertical="center"/>
    </xf>
    <xf numFmtId="178" fontId="31" fillId="7" borderId="29" xfId="0" applyNumberFormat="1" applyFont="1" applyFill="1" applyBorder="1" applyAlignment="1">
      <alignment horizontal="center" vertical="center"/>
    </xf>
    <xf numFmtId="178" fontId="31" fillId="7" borderId="31" xfId="0" applyNumberFormat="1" applyFont="1" applyFill="1" applyBorder="1" applyAlignment="1">
      <alignment horizontal="center" vertical="center"/>
    </xf>
    <xf numFmtId="178" fontId="31" fillId="7" borderId="146" xfId="0" applyNumberFormat="1" applyFont="1" applyFill="1" applyBorder="1" applyAlignment="1">
      <alignment horizontal="center" vertical="center"/>
    </xf>
    <xf numFmtId="178" fontId="31" fillId="7" borderId="123" xfId="0" applyNumberFormat="1" applyFont="1" applyFill="1" applyBorder="1" applyAlignment="1">
      <alignment horizontal="center" vertical="center"/>
    </xf>
    <xf numFmtId="178" fontId="31" fillId="7" borderId="119" xfId="0" applyNumberFormat="1" applyFont="1" applyFill="1" applyBorder="1" applyAlignment="1">
      <alignment horizontal="center" vertical="center"/>
    </xf>
    <xf numFmtId="178" fontId="31" fillId="7" borderId="0" xfId="0" applyNumberFormat="1" applyFont="1" applyFill="1" applyAlignment="1">
      <alignment horizontal="center" vertical="center"/>
    </xf>
    <xf numFmtId="178" fontId="31" fillId="7" borderId="164" xfId="0" applyNumberFormat="1" applyFont="1" applyFill="1" applyBorder="1" applyAlignment="1">
      <alignment horizontal="center" vertical="center"/>
    </xf>
    <xf numFmtId="0" fontId="32" fillId="7" borderId="168" xfId="0" applyFont="1" applyFill="1" applyBorder="1" applyAlignment="1">
      <alignment horizontal="center" vertical="center"/>
    </xf>
    <xf numFmtId="178" fontId="31" fillId="7" borderId="169" xfId="0" applyNumberFormat="1" applyFont="1" applyFill="1" applyBorder="1" applyAlignment="1">
      <alignment horizontal="center" vertical="center"/>
    </xf>
    <xf numFmtId="178" fontId="31" fillId="7" borderId="170" xfId="0" applyNumberFormat="1" applyFont="1" applyFill="1" applyBorder="1" applyAlignment="1">
      <alignment horizontal="center" vertical="center"/>
    </xf>
    <xf numFmtId="178" fontId="31" fillId="7" borderId="172" xfId="0" applyNumberFormat="1" applyFont="1" applyFill="1" applyBorder="1" applyAlignment="1">
      <alignment horizontal="center" vertical="center"/>
    </xf>
    <xf numFmtId="178" fontId="31" fillId="7" borderId="174" xfId="0" applyNumberFormat="1" applyFont="1" applyFill="1" applyBorder="1" applyAlignment="1">
      <alignment horizontal="center" vertical="center"/>
    </xf>
    <xf numFmtId="0" fontId="32" fillId="7" borderId="12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2" fillId="7" borderId="123" xfId="0" applyFont="1" applyFill="1" applyBorder="1" applyAlignment="1">
      <alignment horizontal="center" vertical="center"/>
    </xf>
    <xf numFmtId="178" fontId="31" fillId="7" borderId="152" xfId="0" applyNumberFormat="1" applyFont="1" applyFill="1" applyBorder="1" applyAlignment="1">
      <alignment horizontal="center" vertical="center"/>
    </xf>
    <xf numFmtId="178" fontId="31" fillId="7" borderId="150" xfId="0" applyNumberFormat="1" applyFont="1" applyFill="1" applyBorder="1" applyAlignment="1">
      <alignment horizontal="center" vertical="center"/>
    </xf>
    <xf numFmtId="178" fontId="31" fillId="7" borderId="157" xfId="0" applyNumberFormat="1" applyFont="1" applyFill="1" applyBorder="1" applyAlignment="1">
      <alignment horizontal="center" vertical="center"/>
    </xf>
    <xf numFmtId="178" fontId="31" fillId="7" borderId="155" xfId="0" applyNumberFormat="1" applyFont="1" applyFill="1" applyBorder="1" applyAlignment="1">
      <alignment horizontal="center" vertical="center"/>
    </xf>
    <xf numFmtId="178" fontId="31" fillId="7" borderId="165" xfId="0" applyNumberFormat="1" applyFont="1" applyFill="1" applyBorder="1" applyAlignment="1">
      <alignment horizontal="center" vertical="center"/>
    </xf>
    <xf numFmtId="178" fontId="31" fillId="7" borderId="166" xfId="0" applyNumberFormat="1" applyFont="1" applyFill="1" applyBorder="1" applyAlignment="1">
      <alignment horizontal="center" vertical="center"/>
    </xf>
    <xf numFmtId="0" fontId="32" fillId="7" borderId="176" xfId="0" applyFont="1" applyFill="1" applyBorder="1" applyAlignment="1">
      <alignment horizontal="center" vertical="center"/>
    </xf>
    <xf numFmtId="0" fontId="32" fillId="7" borderId="178" xfId="0" applyFont="1" applyFill="1" applyBorder="1" applyAlignment="1">
      <alignment horizontal="center" vertical="center"/>
    </xf>
    <xf numFmtId="178" fontId="31" fillId="7" borderId="177" xfId="0" applyNumberFormat="1" applyFont="1" applyFill="1" applyBorder="1" applyAlignment="1">
      <alignment horizontal="center" vertical="center"/>
    </xf>
    <xf numFmtId="178" fontId="31" fillId="7" borderId="179" xfId="0" applyNumberFormat="1" applyFont="1" applyFill="1" applyBorder="1" applyAlignment="1">
      <alignment horizontal="center" vertical="center"/>
    </xf>
    <xf numFmtId="0" fontId="32" fillId="7" borderId="150" xfId="0" applyFont="1" applyFill="1" applyBorder="1" applyAlignment="1">
      <alignment horizontal="center" vertical="center"/>
    </xf>
    <xf numFmtId="0" fontId="32" fillId="7" borderId="155" xfId="0" applyFont="1" applyFill="1" applyBorder="1" applyAlignment="1">
      <alignment horizontal="center" vertical="center"/>
    </xf>
    <xf numFmtId="0" fontId="29" fillId="6" borderId="163" xfId="0" applyFont="1" applyFill="1" applyBorder="1" applyAlignment="1">
      <alignment horizontal="center" vertical="center"/>
    </xf>
    <xf numFmtId="178" fontId="31" fillId="6" borderId="181" xfId="0" applyNumberFormat="1" applyFont="1" applyFill="1" applyBorder="1" applyAlignment="1">
      <alignment horizontal="center" vertical="center"/>
    </xf>
    <xf numFmtId="0" fontId="32" fillId="6" borderId="160" xfId="0" applyFont="1" applyFill="1" applyBorder="1" applyAlignment="1">
      <alignment horizontal="center" vertical="center"/>
    </xf>
    <xf numFmtId="0" fontId="31" fillId="6" borderId="159" xfId="0" applyFont="1" applyFill="1" applyBorder="1" applyAlignment="1">
      <alignment horizontal="center" vertical="center"/>
    </xf>
    <xf numFmtId="0" fontId="31" fillId="6" borderId="160" xfId="0" applyFont="1" applyFill="1" applyBorder="1" applyAlignment="1">
      <alignment horizontal="center" vertical="center"/>
    </xf>
    <xf numFmtId="0" fontId="31" fillId="5" borderId="118" xfId="0" applyFont="1" applyFill="1" applyBorder="1" applyAlignment="1">
      <alignment horizontal="center" vertical="center"/>
    </xf>
    <xf numFmtId="0" fontId="42" fillId="0" borderId="118" xfId="0" applyFont="1" applyBorder="1" applyAlignment="1">
      <alignment horizontal="left" vertical="top" wrapText="1"/>
    </xf>
    <xf numFmtId="0" fontId="42" fillId="0" borderId="119" xfId="0" applyFont="1" applyBorder="1" applyAlignment="1">
      <alignment horizontal="left" vertical="top"/>
    </xf>
    <xf numFmtId="0" fontId="42" fillId="0" borderId="5" xfId="0" applyFont="1" applyBorder="1" applyAlignment="1">
      <alignment horizontal="left" vertical="top"/>
    </xf>
    <xf numFmtId="0" fontId="42" fillId="0" borderId="0" xfId="0" applyFont="1" applyAlignment="1">
      <alignment horizontal="left" vertical="top"/>
    </xf>
  </cellXfs>
  <cellStyles count="10">
    <cellStyle name="금일설치" xfId="4" xr:uid="{9F90A0B2-39E0-4A8C-BDB0-8737B949A0BD}"/>
    <cellStyle name="금일타공설치" xfId="5" xr:uid="{CCCA482D-6BC0-45B4-999C-C0B9705A388E}"/>
    <cellStyle name="기타간섭" xfId="6" xr:uid="{F731C52F-6250-4AD4-9F56-5D5AE28FCC12}"/>
    <cellStyle name="덕트/타공 미설치 2" xfId="9" xr:uid="{673D2909-8472-4ADC-8AFB-0CB0F6CCC36A}"/>
    <cellStyle name="백분율" xfId="1" builtinId="5"/>
    <cellStyle name="비계간섭" xfId="7" xr:uid="{75BE7791-650A-4E60-9011-FC8080929264}"/>
    <cellStyle name="설치완료" xfId="2" xr:uid="{38FF2ADE-CA2B-40C9-A826-9606946B8F10}"/>
    <cellStyle name="쉼표 [0]" xfId="3" builtinId="6"/>
    <cellStyle name="쉼표 [0] 7" xfId="8" xr:uid="{386933E7-64C9-4606-9462-1ADAA230DB05}"/>
    <cellStyle name="표준" xfId="0" builtinId="0"/>
  </cellStyles>
  <dxfs count="748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182" formatCode="&quot;&quot;"/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182" formatCode="&quot;&quot;"/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182" formatCode="&quot;&quot;"/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182" formatCode="&quot;&quot;"/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182" formatCode="&quot;&quot;"/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182" formatCode="&quot;&quot;"/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8F8F"/>
      <color rgb="FFFBE5D7"/>
      <color rgb="FFFF7171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13607</xdr:colOff>
      <xdr:row>60</xdr:row>
      <xdr:rowOff>367391</xdr:rowOff>
    </xdr:from>
    <xdr:to>
      <xdr:col>37</xdr:col>
      <xdr:colOff>707572</xdr:colOff>
      <xdr:row>62</xdr:row>
      <xdr:rowOff>108856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5EF40A3-99F5-C431-6D30-2715E68D08CA}"/>
            </a:ext>
          </a:extLst>
        </xdr:cNvPr>
        <xdr:cNvSpPr/>
      </xdr:nvSpPr>
      <xdr:spPr>
        <a:xfrm>
          <a:off x="22642286" y="17430748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트레이간섭</a:t>
          </a:r>
        </a:p>
      </xdr:txBody>
    </xdr:sp>
    <xdr:clientData/>
  </xdr:twoCellAnchor>
  <xdr:twoCellAnchor>
    <xdr:from>
      <xdr:col>60</xdr:col>
      <xdr:colOff>734786</xdr:colOff>
      <xdr:row>28</xdr:row>
      <xdr:rowOff>13607</xdr:rowOff>
    </xdr:from>
    <xdr:to>
      <xdr:col>62</xdr:col>
      <xdr:colOff>1</xdr:colOff>
      <xdr:row>30</xdr:row>
      <xdr:rowOff>122464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D6A2B58B-2DF9-49A1-A9AF-E8981FE6A229}"/>
            </a:ext>
          </a:extLst>
        </xdr:cNvPr>
        <xdr:cNvSpPr/>
      </xdr:nvSpPr>
      <xdr:spPr>
        <a:xfrm>
          <a:off x="39487929" y="7647214"/>
          <a:ext cx="693965" cy="48985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가설케이블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</a:p>
      </xdr:txBody>
    </xdr:sp>
    <xdr:clientData/>
  </xdr:twoCellAnchor>
  <xdr:twoCellAnchor>
    <xdr:from>
      <xdr:col>5</xdr:col>
      <xdr:colOff>625930</xdr:colOff>
      <xdr:row>60</xdr:row>
      <xdr:rowOff>367392</xdr:rowOff>
    </xdr:from>
    <xdr:to>
      <xdr:col>7</xdr:col>
      <xdr:colOff>54429</xdr:colOff>
      <xdr:row>63</xdr:row>
      <xdr:rowOff>54429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3F96409-11BE-1088-9763-FF0620886AC0}"/>
            </a:ext>
          </a:extLst>
        </xdr:cNvPr>
        <xdr:cNvSpPr/>
      </xdr:nvSpPr>
      <xdr:spPr>
        <a:xfrm>
          <a:off x="3524251" y="17430749"/>
          <a:ext cx="789214" cy="44903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트레이서포트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</a:p>
      </xdr:txBody>
    </xdr:sp>
    <xdr:clientData/>
  </xdr:twoCellAnchor>
  <xdr:twoCellAnchor>
    <xdr:from>
      <xdr:col>34</xdr:col>
      <xdr:colOff>0</xdr:colOff>
      <xdr:row>57</xdr:row>
      <xdr:rowOff>353784</xdr:rowOff>
    </xdr:from>
    <xdr:to>
      <xdr:col>35</xdr:col>
      <xdr:colOff>13608</xdr:colOff>
      <xdr:row>59</xdr:row>
      <xdr:rowOff>95249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49AB950-7B82-463D-7B40-E1C71C8F7651}"/>
            </a:ext>
          </a:extLst>
        </xdr:cNvPr>
        <xdr:cNvSpPr/>
      </xdr:nvSpPr>
      <xdr:spPr>
        <a:xfrm>
          <a:off x="22628679" y="16655141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분전반간섭</a:t>
          </a:r>
        </a:p>
      </xdr:txBody>
    </xdr:sp>
    <xdr:clientData/>
  </xdr:twoCellAnchor>
  <xdr:twoCellAnchor>
    <xdr:from>
      <xdr:col>27</xdr:col>
      <xdr:colOff>666750</xdr:colOff>
      <xdr:row>54</xdr:row>
      <xdr:rowOff>380999</xdr:rowOff>
    </xdr:from>
    <xdr:to>
      <xdr:col>29</xdr:col>
      <xdr:colOff>1</xdr:colOff>
      <xdr:row>56</xdr:row>
      <xdr:rowOff>122464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9AD22AB-201A-5214-18DB-FD347CD24143}"/>
            </a:ext>
          </a:extLst>
        </xdr:cNvPr>
        <xdr:cNvSpPr/>
      </xdr:nvSpPr>
      <xdr:spPr>
        <a:xfrm>
          <a:off x="18532929" y="15920356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분전반간섭</a:t>
          </a:r>
        </a:p>
      </xdr:txBody>
    </xdr:sp>
    <xdr:clientData/>
  </xdr:twoCellAnchor>
  <xdr:twoCellAnchor>
    <xdr:from>
      <xdr:col>35</xdr:col>
      <xdr:colOff>13607</xdr:colOff>
      <xdr:row>57</xdr:row>
      <xdr:rowOff>353784</xdr:rowOff>
    </xdr:from>
    <xdr:to>
      <xdr:col>36</xdr:col>
      <xdr:colOff>27215</xdr:colOff>
      <xdr:row>59</xdr:row>
      <xdr:rowOff>95249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2D578F1-DD43-1562-28BB-DF64974F48B3}"/>
            </a:ext>
          </a:extLst>
        </xdr:cNvPr>
        <xdr:cNvSpPr/>
      </xdr:nvSpPr>
      <xdr:spPr>
        <a:xfrm>
          <a:off x="23322643" y="16655141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가대간섭</a:t>
          </a:r>
        </a:p>
      </xdr:txBody>
    </xdr:sp>
    <xdr:clientData/>
  </xdr:twoCellAnchor>
  <xdr:twoCellAnchor>
    <xdr:from>
      <xdr:col>30</xdr:col>
      <xdr:colOff>0</xdr:colOff>
      <xdr:row>64</xdr:row>
      <xdr:rowOff>13606</xdr:rowOff>
    </xdr:from>
    <xdr:to>
      <xdr:col>31</xdr:col>
      <xdr:colOff>13608</xdr:colOff>
      <xdr:row>65</xdr:row>
      <xdr:rowOff>136071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FBFE5D3-938F-8039-078C-04BD17360BFF}"/>
            </a:ext>
          </a:extLst>
        </xdr:cNvPr>
        <xdr:cNvSpPr/>
      </xdr:nvSpPr>
      <xdr:spPr>
        <a:xfrm>
          <a:off x="17866179" y="18219963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통신랙간섭</a:t>
          </a:r>
        </a:p>
      </xdr:txBody>
    </xdr:sp>
    <xdr:clientData/>
  </xdr:twoCellAnchor>
  <xdr:twoCellAnchor>
    <xdr:from>
      <xdr:col>28</xdr:col>
      <xdr:colOff>666750</xdr:colOff>
      <xdr:row>64</xdr:row>
      <xdr:rowOff>13606</xdr:rowOff>
    </xdr:from>
    <xdr:to>
      <xdr:col>30</xdr:col>
      <xdr:colOff>0</xdr:colOff>
      <xdr:row>66</xdr:row>
      <xdr:rowOff>95250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2EFF2AE-C2CD-3971-1337-0C79AC8AF47D}"/>
            </a:ext>
          </a:extLst>
        </xdr:cNvPr>
        <xdr:cNvSpPr/>
      </xdr:nvSpPr>
      <xdr:spPr>
        <a:xfrm>
          <a:off x="17172214" y="18219963"/>
          <a:ext cx="693965" cy="46264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배관서포트간섭</a:t>
          </a:r>
        </a:p>
      </xdr:txBody>
    </xdr:sp>
    <xdr:clientData/>
  </xdr:twoCellAnchor>
  <xdr:twoCellAnchor>
    <xdr:from>
      <xdr:col>27</xdr:col>
      <xdr:colOff>1</xdr:colOff>
      <xdr:row>66</xdr:row>
      <xdr:rowOff>380998</xdr:rowOff>
    </xdr:from>
    <xdr:to>
      <xdr:col>28</xdr:col>
      <xdr:colOff>13609</xdr:colOff>
      <xdr:row>68</xdr:row>
      <xdr:rowOff>122463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EB77BCC1-366B-B875-DBCC-9D4FF88FA736}"/>
            </a:ext>
          </a:extLst>
        </xdr:cNvPr>
        <xdr:cNvSpPr/>
      </xdr:nvSpPr>
      <xdr:spPr>
        <a:xfrm>
          <a:off x="15825108" y="18968355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배관간섭</a:t>
          </a:r>
        </a:p>
      </xdr:txBody>
    </xdr:sp>
    <xdr:clientData/>
  </xdr:twoCellAnchor>
  <xdr:twoCellAnchor>
    <xdr:from>
      <xdr:col>34</xdr:col>
      <xdr:colOff>0</xdr:colOff>
      <xdr:row>70</xdr:row>
      <xdr:rowOff>0</xdr:rowOff>
    </xdr:from>
    <xdr:to>
      <xdr:col>35</xdr:col>
      <xdr:colOff>13608</xdr:colOff>
      <xdr:row>72</xdr:row>
      <xdr:rowOff>108857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D6B0FAE2-4949-9182-17AB-280ED1175113}"/>
            </a:ext>
          </a:extLst>
        </xdr:cNvPr>
        <xdr:cNvSpPr/>
      </xdr:nvSpPr>
      <xdr:spPr>
        <a:xfrm>
          <a:off x="20587607" y="19730357"/>
          <a:ext cx="693965" cy="48985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가설전선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</a:p>
      </xdr:txBody>
    </xdr:sp>
    <xdr:clientData/>
  </xdr:twoCellAnchor>
  <xdr:twoCellAnchor>
    <xdr:from>
      <xdr:col>18</xdr:col>
      <xdr:colOff>625929</xdr:colOff>
      <xdr:row>72</xdr:row>
      <xdr:rowOff>380998</xdr:rowOff>
    </xdr:from>
    <xdr:to>
      <xdr:col>20</xdr:col>
      <xdr:colOff>57214</xdr:colOff>
      <xdr:row>74</xdr:row>
      <xdr:rowOff>122463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53D63D0-4023-97C5-00A0-FC8CB57AFBB5}"/>
            </a:ext>
          </a:extLst>
        </xdr:cNvPr>
        <xdr:cNvSpPr/>
      </xdr:nvSpPr>
      <xdr:spPr>
        <a:xfrm>
          <a:off x="12368893" y="20492355"/>
          <a:ext cx="792000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가설수도간섭</a:t>
          </a:r>
        </a:p>
      </xdr:txBody>
    </xdr:sp>
    <xdr:clientData/>
  </xdr:twoCellAnchor>
  <xdr:twoCellAnchor>
    <xdr:from>
      <xdr:col>18</xdr:col>
      <xdr:colOff>625929</xdr:colOff>
      <xdr:row>69</xdr:row>
      <xdr:rowOff>380998</xdr:rowOff>
    </xdr:from>
    <xdr:to>
      <xdr:col>20</xdr:col>
      <xdr:colOff>57214</xdr:colOff>
      <xdr:row>71</xdr:row>
      <xdr:rowOff>122463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B7EC71D8-D96C-33CD-A161-156C326F60F1}"/>
            </a:ext>
          </a:extLst>
        </xdr:cNvPr>
        <xdr:cNvSpPr/>
      </xdr:nvSpPr>
      <xdr:spPr>
        <a:xfrm>
          <a:off x="12368893" y="19730355"/>
          <a:ext cx="792000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가설수도간섭</a:t>
          </a:r>
        </a:p>
      </xdr:txBody>
    </xdr:sp>
    <xdr:clientData/>
  </xdr:twoCellAnchor>
  <xdr:twoCellAnchor>
    <xdr:from>
      <xdr:col>25</xdr:col>
      <xdr:colOff>666750</xdr:colOff>
      <xdr:row>60</xdr:row>
      <xdr:rowOff>367392</xdr:rowOff>
    </xdr:from>
    <xdr:to>
      <xdr:col>27</xdr:col>
      <xdr:colOff>1</xdr:colOff>
      <xdr:row>62</xdr:row>
      <xdr:rowOff>108857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88C67157-A86A-EC7B-5095-E1A2952667AB}"/>
            </a:ext>
          </a:extLst>
        </xdr:cNvPr>
        <xdr:cNvSpPr/>
      </xdr:nvSpPr>
      <xdr:spPr>
        <a:xfrm>
          <a:off x="17172214" y="17430749"/>
          <a:ext cx="693966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분전반간섭</a:t>
          </a:r>
        </a:p>
      </xdr:txBody>
    </xdr:sp>
    <xdr:clientData/>
  </xdr:twoCellAnchor>
  <xdr:twoCellAnchor>
    <xdr:from>
      <xdr:col>37</xdr:col>
      <xdr:colOff>27215</xdr:colOff>
      <xdr:row>19</xdr:row>
      <xdr:rowOff>0</xdr:rowOff>
    </xdr:from>
    <xdr:to>
      <xdr:col>37</xdr:col>
      <xdr:colOff>721180</xdr:colOff>
      <xdr:row>20</xdr:row>
      <xdr:rowOff>122465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4F0A2093-0CA3-4996-AF64-661A7959DF5D}"/>
            </a:ext>
          </a:extLst>
        </xdr:cNvPr>
        <xdr:cNvSpPr/>
      </xdr:nvSpPr>
      <xdr:spPr>
        <a:xfrm>
          <a:off x="22655894" y="5347607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서포트간섭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666750</xdr:colOff>
      <xdr:row>63</xdr:row>
      <xdr:rowOff>380999</xdr:rowOff>
    </xdr:from>
    <xdr:to>
      <xdr:col>7</xdr:col>
      <xdr:colOff>0</xdr:colOff>
      <xdr:row>66</xdr:row>
      <xdr:rowOff>81643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D9F1ED65-22F2-C0A2-210B-A9CE166FB13B}"/>
            </a:ext>
          </a:extLst>
        </xdr:cNvPr>
        <xdr:cNvSpPr/>
      </xdr:nvSpPr>
      <xdr:spPr>
        <a:xfrm>
          <a:off x="3565071" y="18206356"/>
          <a:ext cx="693965" cy="46264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배관서포트간섭</a:t>
          </a:r>
        </a:p>
      </xdr:txBody>
    </xdr:sp>
    <xdr:clientData/>
  </xdr:twoCellAnchor>
  <xdr:twoCellAnchor>
    <xdr:from>
      <xdr:col>36</xdr:col>
      <xdr:colOff>0</xdr:colOff>
      <xdr:row>60</xdr:row>
      <xdr:rowOff>367391</xdr:rowOff>
    </xdr:from>
    <xdr:to>
      <xdr:col>37</xdr:col>
      <xdr:colOff>13607</xdr:colOff>
      <xdr:row>62</xdr:row>
      <xdr:rowOff>108856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639413E0-C694-C815-C974-D34999CCED54}"/>
            </a:ext>
          </a:extLst>
        </xdr:cNvPr>
        <xdr:cNvSpPr/>
      </xdr:nvSpPr>
      <xdr:spPr>
        <a:xfrm>
          <a:off x="21948321" y="17430748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트레이간섭</a:t>
          </a:r>
        </a:p>
      </xdr:txBody>
    </xdr:sp>
    <xdr:clientData/>
  </xdr:twoCellAnchor>
  <xdr:twoCellAnchor>
    <xdr:from>
      <xdr:col>56</xdr:col>
      <xdr:colOff>666752</xdr:colOff>
      <xdr:row>31</xdr:row>
      <xdr:rowOff>13607</xdr:rowOff>
    </xdr:from>
    <xdr:to>
      <xdr:col>58</xdr:col>
      <xdr:colOff>2</xdr:colOff>
      <xdr:row>32</xdr:row>
      <xdr:rowOff>136072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1468E444-B3C2-274D-5EDD-FF51ACA3F7DB}"/>
            </a:ext>
          </a:extLst>
        </xdr:cNvPr>
        <xdr:cNvSpPr/>
      </xdr:nvSpPr>
      <xdr:spPr>
        <a:xfrm>
          <a:off x="36698466" y="8409214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서포트간섭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46</xdr:col>
      <xdr:colOff>666752</xdr:colOff>
      <xdr:row>25</xdr:row>
      <xdr:rowOff>0</xdr:rowOff>
    </xdr:from>
    <xdr:to>
      <xdr:col>48</xdr:col>
      <xdr:colOff>2</xdr:colOff>
      <xdr:row>26</xdr:row>
      <xdr:rowOff>122465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5FD6EE3-EA76-CC54-1889-E0DAC7CCE26E}"/>
            </a:ext>
          </a:extLst>
        </xdr:cNvPr>
        <xdr:cNvSpPr/>
      </xdr:nvSpPr>
      <xdr:spPr>
        <a:xfrm>
          <a:off x="29758823" y="6871607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서포트간섭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37</xdr:col>
      <xdr:colOff>27215</xdr:colOff>
      <xdr:row>22</xdr:row>
      <xdr:rowOff>0</xdr:rowOff>
    </xdr:from>
    <xdr:to>
      <xdr:col>37</xdr:col>
      <xdr:colOff>721180</xdr:colOff>
      <xdr:row>23</xdr:row>
      <xdr:rowOff>122465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275ECAD-3119-1895-7A5B-0D9ABCC08BBE}"/>
            </a:ext>
          </a:extLst>
        </xdr:cNvPr>
        <xdr:cNvSpPr/>
      </xdr:nvSpPr>
      <xdr:spPr>
        <a:xfrm>
          <a:off x="22655894" y="6109607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서포트간섭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32</xdr:col>
      <xdr:colOff>666751</xdr:colOff>
      <xdr:row>22</xdr:row>
      <xdr:rowOff>0</xdr:rowOff>
    </xdr:from>
    <xdr:to>
      <xdr:col>34</xdr:col>
      <xdr:colOff>2</xdr:colOff>
      <xdr:row>24</xdr:row>
      <xdr:rowOff>95249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64D6DEB0-D0C1-10A2-5E67-1105EC4A12BC}"/>
            </a:ext>
          </a:extLst>
        </xdr:cNvPr>
        <xdr:cNvSpPr/>
      </xdr:nvSpPr>
      <xdr:spPr>
        <a:xfrm>
          <a:off x="19893644" y="6109607"/>
          <a:ext cx="693965" cy="47624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통신장비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54</xdr:col>
      <xdr:colOff>2</xdr:colOff>
      <xdr:row>19</xdr:row>
      <xdr:rowOff>0</xdr:rowOff>
    </xdr:from>
    <xdr:to>
      <xdr:col>55</xdr:col>
      <xdr:colOff>13610</xdr:colOff>
      <xdr:row>20</xdr:row>
      <xdr:rowOff>122465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C6C2A90A-CAC0-BCED-5CBF-C347D59374C4}"/>
            </a:ext>
          </a:extLst>
        </xdr:cNvPr>
        <xdr:cNvSpPr/>
      </xdr:nvSpPr>
      <xdr:spPr>
        <a:xfrm>
          <a:off x="34602966" y="5347607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통신랙간섭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666751</xdr:colOff>
      <xdr:row>19</xdr:row>
      <xdr:rowOff>0</xdr:rowOff>
    </xdr:from>
    <xdr:to>
      <xdr:col>33</xdr:col>
      <xdr:colOff>2</xdr:colOff>
      <xdr:row>21</xdr:row>
      <xdr:rowOff>95249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6FDA5A9-E517-571B-D66D-A88E8C60286F}"/>
            </a:ext>
          </a:extLst>
        </xdr:cNvPr>
        <xdr:cNvSpPr/>
      </xdr:nvSpPr>
      <xdr:spPr>
        <a:xfrm>
          <a:off x="21254358" y="5347607"/>
          <a:ext cx="693965" cy="47624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목재슬로프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666751</xdr:colOff>
      <xdr:row>16</xdr:row>
      <xdr:rowOff>13608</xdr:rowOff>
    </xdr:from>
    <xdr:to>
      <xdr:col>32</xdr:col>
      <xdr:colOff>2</xdr:colOff>
      <xdr:row>18</xdr:row>
      <xdr:rowOff>122464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6652125A-1EE3-E126-5D27-26D6A4D6BCDF}"/>
            </a:ext>
          </a:extLst>
        </xdr:cNvPr>
        <xdr:cNvSpPr/>
      </xdr:nvSpPr>
      <xdr:spPr>
        <a:xfrm>
          <a:off x="18532930" y="4612822"/>
          <a:ext cx="693965" cy="47624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목재슬로프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</xdr:colOff>
      <xdr:row>16</xdr:row>
      <xdr:rowOff>13608</xdr:rowOff>
    </xdr:from>
    <xdr:to>
      <xdr:col>30</xdr:col>
      <xdr:colOff>13608</xdr:colOff>
      <xdr:row>18</xdr:row>
      <xdr:rowOff>122464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D1FCAC8C-4FAB-5E0D-FA5C-E275BFA3DABC}"/>
            </a:ext>
          </a:extLst>
        </xdr:cNvPr>
        <xdr:cNvSpPr/>
      </xdr:nvSpPr>
      <xdr:spPr>
        <a:xfrm>
          <a:off x="17185822" y="4612822"/>
          <a:ext cx="693965" cy="47624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목재슬로프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0</xdr:colOff>
      <xdr:row>13</xdr:row>
      <xdr:rowOff>1</xdr:rowOff>
    </xdr:from>
    <xdr:to>
      <xdr:col>28</xdr:col>
      <xdr:colOff>13608</xdr:colOff>
      <xdr:row>15</xdr:row>
      <xdr:rowOff>95250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6126E1DA-8726-2385-4C90-ADEFBEE78205}"/>
            </a:ext>
          </a:extLst>
        </xdr:cNvPr>
        <xdr:cNvSpPr/>
      </xdr:nvSpPr>
      <xdr:spPr>
        <a:xfrm>
          <a:off x="15825107" y="3837215"/>
          <a:ext cx="693965" cy="47624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목재슬로프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54</xdr:col>
      <xdr:colOff>2</xdr:colOff>
      <xdr:row>10</xdr:row>
      <xdr:rowOff>0</xdr:rowOff>
    </xdr:from>
    <xdr:to>
      <xdr:col>55</xdr:col>
      <xdr:colOff>13610</xdr:colOff>
      <xdr:row>11</xdr:row>
      <xdr:rowOff>149680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CF641550-71C9-994C-1F9F-77FE44806BBE}"/>
            </a:ext>
          </a:extLst>
        </xdr:cNvPr>
        <xdr:cNvSpPr/>
      </xdr:nvSpPr>
      <xdr:spPr>
        <a:xfrm>
          <a:off x="36644038" y="3102429"/>
          <a:ext cx="69396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샵장간섭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666752</xdr:colOff>
      <xdr:row>25</xdr:row>
      <xdr:rowOff>0</xdr:rowOff>
    </xdr:from>
    <xdr:to>
      <xdr:col>48</xdr:col>
      <xdr:colOff>2</xdr:colOff>
      <xdr:row>26</xdr:row>
      <xdr:rowOff>122465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1302AE4A-11E2-482D-A161-827BA40EC63D}"/>
            </a:ext>
          </a:extLst>
        </xdr:cNvPr>
        <xdr:cNvSpPr/>
      </xdr:nvSpPr>
      <xdr:spPr>
        <a:xfrm>
          <a:off x="32042102" y="6896100"/>
          <a:ext cx="704850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서포트간섭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674542</xdr:colOff>
      <xdr:row>22</xdr:row>
      <xdr:rowOff>138112</xdr:rowOff>
    </xdr:from>
    <xdr:to>
      <xdr:col>13</xdr:col>
      <xdr:colOff>16452</xdr:colOff>
      <xdr:row>26</xdr:row>
      <xdr:rowOff>95249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45D701D-8E0A-469F-A11D-9E4FCCE773ED}"/>
            </a:ext>
          </a:extLst>
        </xdr:cNvPr>
        <xdr:cNvSpPr/>
      </xdr:nvSpPr>
      <xdr:spPr>
        <a:xfrm>
          <a:off x="7770667" y="6305550"/>
          <a:ext cx="723035" cy="909637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17317</xdr:colOff>
      <xdr:row>22</xdr:row>
      <xdr:rowOff>147637</xdr:rowOff>
    </xdr:from>
    <xdr:to>
      <xdr:col>14</xdr:col>
      <xdr:colOff>49789</xdr:colOff>
      <xdr:row>26</xdr:row>
      <xdr:rowOff>104774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CF48249-65FA-4289-A694-156E0AE19611}"/>
            </a:ext>
          </a:extLst>
        </xdr:cNvPr>
        <xdr:cNvSpPr/>
      </xdr:nvSpPr>
      <xdr:spPr>
        <a:xfrm>
          <a:off x="8494567" y="6315075"/>
          <a:ext cx="723035" cy="909637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26844</xdr:colOff>
      <xdr:row>9</xdr:row>
      <xdr:rowOff>357187</xdr:rowOff>
    </xdr:from>
    <xdr:to>
      <xdr:col>35</xdr:col>
      <xdr:colOff>675410</xdr:colOff>
      <xdr:row>22</xdr:row>
      <xdr:rowOff>23440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63975714-B4F1-4027-9C01-DC1B4AF369B8}"/>
            </a:ext>
          </a:extLst>
        </xdr:cNvPr>
        <xdr:cNvSpPr/>
      </xdr:nvSpPr>
      <xdr:spPr>
        <a:xfrm>
          <a:off x="23752753" y="3110778"/>
          <a:ext cx="648566" cy="3043298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12556</xdr:colOff>
      <xdr:row>19</xdr:row>
      <xdr:rowOff>33337</xdr:rowOff>
    </xdr:from>
    <xdr:to>
      <xdr:col>27</xdr:col>
      <xdr:colOff>675410</xdr:colOff>
      <xdr:row>28</xdr:row>
      <xdr:rowOff>23812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47219173-2CCE-4776-BFD8-46B2EF14588F}"/>
            </a:ext>
          </a:extLst>
        </xdr:cNvPr>
        <xdr:cNvSpPr/>
      </xdr:nvSpPr>
      <xdr:spPr>
        <a:xfrm>
          <a:off x="17935431" y="5383212"/>
          <a:ext cx="662854" cy="227647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8473</xdr:colOff>
      <xdr:row>18</xdr:row>
      <xdr:rowOff>376237</xdr:rowOff>
    </xdr:from>
    <xdr:to>
      <xdr:col>30</xdr:col>
      <xdr:colOff>0</xdr:colOff>
      <xdr:row>27</xdr:row>
      <xdr:rowOff>380998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62F3F119-5456-40E2-9101-222625103DA1}"/>
            </a:ext>
          </a:extLst>
        </xdr:cNvPr>
        <xdr:cNvSpPr/>
      </xdr:nvSpPr>
      <xdr:spPr>
        <a:xfrm>
          <a:off x="19235366" y="5342844"/>
          <a:ext cx="671884" cy="2290761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7793</xdr:colOff>
      <xdr:row>19</xdr:row>
      <xdr:rowOff>23812</xdr:rowOff>
    </xdr:from>
    <xdr:to>
      <xdr:col>32</xdr:col>
      <xdr:colOff>0</xdr:colOff>
      <xdr:row>24</xdr:row>
      <xdr:rowOff>342900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4BBB6F85-D52C-46B8-A02E-8E367BEDD151}"/>
            </a:ext>
          </a:extLst>
        </xdr:cNvPr>
        <xdr:cNvSpPr/>
      </xdr:nvSpPr>
      <xdr:spPr>
        <a:xfrm>
          <a:off x="20772293" y="5395912"/>
          <a:ext cx="678007" cy="1462088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22080</xdr:colOff>
      <xdr:row>8</xdr:row>
      <xdr:rowOff>47624</xdr:rowOff>
    </xdr:from>
    <xdr:to>
      <xdr:col>28</xdr:col>
      <xdr:colOff>54552</xdr:colOff>
      <xdr:row>13</xdr:row>
      <xdr:rowOff>57149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38E61CC6-4E0B-4299-A8F0-538A4B4A4746}"/>
            </a:ext>
          </a:extLst>
        </xdr:cNvPr>
        <xdr:cNvSpPr/>
      </xdr:nvSpPr>
      <xdr:spPr>
        <a:xfrm>
          <a:off x="18167205" y="2619374"/>
          <a:ext cx="723035" cy="1319213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674542</xdr:colOff>
      <xdr:row>8</xdr:row>
      <xdr:rowOff>9524</xdr:rowOff>
    </xdr:from>
    <xdr:to>
      <xdr:col>30</xdr:col>
      <xdr:colOff>16452</xdr:colOff>
      <xdr:row>13</xdr:row>
      <xdr:rowOff>19049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E9BCE699-C925-43F7-8BD6-6110A27DC155}"/>
            </a:ext>
          </a:extLst>
        </xdr:cNvPr>
        <xdr:cNvSpPr/>
      </xdr:nvSpPr>
      <xdr:spPr>
        <a:xfrm>
          <a:off x="19510230" y="2581274"/>
          <a:ext cx="723035" cy="1319213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17318</xdr:colOff>
      <xdr:row>7</xdr:row>
      <xdr:rowOff>185736</xdr:rowOff>
    </xdr:from>
    <xdr:to>
      <xdr:col>32</xdr:col>
      <xdr:colOff>1</xdr:colOff>
      <xdr:row>13</xdr:row>
      <xdr:rowOff>4761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14FB6D-AD23-46D0-B802-0A2DC6F98A82}"/>
            </a:ext>
          </a:extLst>
        </xdr:cNvPr>
        <xdr:cNvSpPr/>
      </xdr:nvSpPr>
      <xdr:spPr>
        <a:xfrm>
          <a:off x="20972318" y="2558327"/>
          <a:ext cx="675410" cy="1308389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3029</xdr:colOff>
      <xdr:row>8</xdr:row>
      <xdr:rowOff>4761</xdr:rowOff>
    </xdr:from>
    <xdr:to>
      <xdr:col>31</xdr:col>
      <xdr:colOff>35502</xdr:colOff>
      <xdr:row>13</xdr:row>
      <xdr:rowOff>14286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DD54AF25-9689-4212-B8ED-D77F83CF2A85}"/>
            </a:ext>
          </a:extLst>
        </xdr:cNvPr>
        <xdr:cNvSpPr/>
      </xdr:nvSpPr>
      <xdr:spPr>
        <a:xfrm>
          <a:off x="20219842" y="2576511"/>
          <a:ext cx="723035" cy="1319213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26843</xdr:colOff>
      <xdr:row>8</xdr:row>
      <xdr:rowOff>28575</xdr:rowOff>
    </xdr:from>
    <xdr:to>
      <xdr:col>33</xdr:col>
      <xdr:colOff>658091</xdr:colOff>
      <xdr:row>13</xdr:row>
      <xdr:rowOff>17319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9D88F4F-1EFB-42B6-8379-557166EB9549}"/>
            </a:ext>
          </a:extLst>
        </xdr:cNvPr>
        <xdr:cNvSpPr/>
      </xdr:nvSpPr>
      <xdr:spPr>
        <a:xfrm>
          <a:off x="22367298" y="2591666"/>
          <a:ext cx="631248" cy="1287608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21213</xdr:colOff>
      <xdr:row>8</xdr:row>
      <xdr:rowOff>14287</xdr:rowOff>
    </xdr:from>
    <xdr:to>
      <xdr:col>34</xdr:col>
      <xdr:colOff>675409</xdr:colOff>
      <xdr:row>13</xdr:row>
      <xdr:rowOff>23812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92555EF-E87E-493B-A9A4-9C3A5923F89E}"/>
            </a:ext>
          </a:extLst>
        </xdr:cNvPr>
        <xdr:cNvSpPr/>
      </xdr:nvSpPr>
      <xdr:spPr>
        <a:xfrm>
          <a:off x="23054395" y="2577378"/>
          <a:ext cx="654196" cy="1308389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34637</xdr:colOff>
      <xdr:row>7</xdr:row>
      <xdr:rowOff>180974</xdr:rowOff>
    </xdr:from>
    <xdr:to>
      <xdr:col>33</xdr:col>
      <xdr:colOff>45027</xdr:colOff>
      <xdr:row>13</xdr:row>
      <xdr:rowOff>-1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BE7175CF-2D20-4938-86FC-1488EB49DF74}"/>
            </a:ext>
          </a:extLst>
        </xdr:cNvPr>
        <xdr:cNvSpPr/>
      </xdr:nvSpPr>
      <xdr:spPr>
        <a:xfrm>
          <a:off x="21682364" y="2553565"/>
          <a:ext cx="703118" cy="1308389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37</xdr:col>
      <xdr:colOff>45892</xdr:colOff>
      <xdr:row>8</xdr:row>
      <xdr:rowOff>47624</xdr:rowOff>
    </xdr:from>
    <xdr:to>
      <xdr:col>38</xdr:col>
      <xdr:colOff>6927</xdr:colOff>
      <xdr:row>13</xdr:row>
      <xdr:rowOff>57149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3DF9612A-3201-4BBA-BA51-A19E4382C13F}"/>
            </a:ext>
          </a:extLst>
        </xdr:cNvPr>
        <xdr:cNvSpPr/>
      </xdr:nvSpPr>
      <xdr:spPr>
        <a:xfrm>
          <a:off x="25096642" y="2619374"/>
          <a:ext cx="723035" cy="1319213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0</xdr:colOff>
      <xdr:row>19</xdr:row>
      <xdr:rowOff>180542</xdr:rowOff>
    </xdr:from>
    <xdr:to>
      <xdr:col>36</xdr:col>
      <xdr:colOff>689265</xdr:colOff>
      <xdr:row>31</xdr:row>
      <xdr:rowOff>17319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795095A8-1B38-4A1D-BACA-6147D5A39CFE}"/>
            </a:ext>
          </a:extLst>
        </xdr:cNvPr>
        <xdr:cNvSpPr/>
      </xdr:nvSpPr>
      <xdr:spPr>
        <a:xfrm>
          <a:off x="24418636" y="5549178"/>
          <a:ext cx="689265" cy="2884777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625930</xdr:colOff>
      <xdr:row>15</xdr:row>
      <xdr:rowOff>367392</xdr:rowOff>
    </xdr:from>
    <xdr:to>
      <xdr:col>70</xdr:col>
      <xdr:colOff>54429</xdr:colOff>
      <xdr:row>18</xdr:row>
      <xdr:rowOff>54429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B66170C-A032-458E-B112-0FA241D07183}"/>
            </a:ext>
          </a:extLst>
        </xdr:cNvPr>
        <xdr:cNvSpPr/>
      </xdr:nvSpPr>
      <xdr:spPr>
        <a:xfrm>
          <a:off x="3559630" y="14883492"/>
          <a:ext cx="800099" cy="44903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트레이서포트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</a:p>
      </xdr:txBody>
    </xdr:sp>
    <xdr:clientData/>
  </xdr:twoCellAnchor>
  <xdr:twoCellAnchor>
    <xdr:from>
      <xdr:col>81</xdr:col>
      <xdr:colOff>625929</xdr:colOff>
      <xdr:row>24</xdr:row>
      <xdr:rowOff>380998</xdr:rowOff>
    </xdr:from>
    <xdr:to>
      <xdr:col>83</xdr:col>
      <xdr:colOff>57214</xdr:colOff>
      <xdr:row>26</xdr:row>
      <xdr:rowOff>122463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8F9E15C-B2F4-496B-8CD6-8B1C64F2A779}"/>
            </a:ext>
          </a:extLst>
        </xdr:cNvPr>
        <xdr:cNvSpPr/>
      </xdr:nvSpPr>
      <xdr:spPr>
        <a:xfrm>
          <a:off x="12475029" y="17183098"/>
          <a:ext cx="802885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가설수도간섭</a:t>
          </a:r>
        </a:p>
      </xdr:txBody>
    </xdr:sp>
    <xdr:clientData/>
  </xdr:twoCellAnchor>
  <xdr:twoCellAnchor>
    <xdr:from>
      <xdr:col>85</xdr:col>
      <xdr:colOff>689263</xdr:colOff>
      <xdr:row>21</xdr:row>
      <xdr:rowOff>363681</xdr:rowOff>
    </xdr:from>
    <xdr:to>
      <xdr:col>87</xdr:col>
      <xdr:colOff>31173</xdr:colOff>
      <xdr:row>31</xdr:row>
      <xdr:rowOff>161985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3995857-E404-4E7C-B215-CA2D3DA59F11}"/>
            </a:ext>
          </a:extLst>
        </xdr:cNvPr>
        <xdr:cNvSpPr/>
      </xdr:nvSpPr>
      <xdr:spPr>
        <a:xfrm>
          <a:off x="15281563" y="16403781"/>
          <a:ext cx="713510" cy="2465304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3030</xdr:colOff>
      <xdr:row>24</xdr:row>
      <xdr:rowOff>357187</xdr:rowOff>
    </xdr:from>
    <xdr:to>
      <xdr:col>95</xdr:col>
      <xdr:colOff>35502</xdr:colOff>
      <xdr:row>28</xdr:row>
      <xdr:rowOff>47253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F430F986-5278-4688-9AAE-2D3633F43501}"/>
            </a:ext>
          </a:extLst>
        </xdr:cNvPr>
        <xdr:cNvSpPr/>
      </xdr:nvSpPr>
      <xdr:spPr>
        <a:xfrm>
          <a:off x="20767530" y="17159287"/>
          <a:ext cx="718272" cy="833066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78</xdr:col>
      <xdr:colOff>47625</xdr:colOff>
      <xdr:row>13</xdr:row>
      <xdr:rowOff>0</xdr:rowOff>
    </xdr:from>
    <xdr:to>
      <xdr:col>80</xdr:col>
      <xdr:colOff>45027</xdr:colOff>
      <xdr:row>17</xdr:row>
      <xdr:rowOff>32965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E25B7D59-C835-40D0-8B17-8F2C172CA545}"/>
            </a:ext>
          </a:extLst>
        </xdr:cNvPr>
        <xdr:cNvSpPr/>
      </xdr:nvSpPr>
      <xdr:spPr>
        <a:xfrm>
          <a:off x="9839325" y="14135100"/>
          <a:ext cx="1369002" cy="98546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665017</xdr:colOff>
      <xdr:row>12</xdr:row>
      <xdr:rowOff>366712</xdr:rowOff>
    </xdr:from>
    <xdr:to>
      <xdr:col>82</xdr:col>
      <xdr:colOff>6927</xdr:colOff>
      <xdr:row>17</xdr:row>
      <xdr:rowOff>18677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8B47C7D-BAFD-4EBB-9469-DC3C5C480D5E}"/>
            </a:ext>
          </a:extLst>
        </xdr:cNvPr>
        <xdr:cNvSpPr/>
      </xdr:nvSpPr>
      <xdr:spPr>
        <a:xfrm>
          <a:off x="11828317" y="14120812"/>
          <a:ext cx="713510" cy="98546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26844</xdr:colOff>
      <xdr:row>21</xdr:row>
      <xdr:rowOff>357187</xdr:rowOff>
    </xdr:from>
    <xdr:to>
      <xdr:col>88</xdr:col>
      <xdr:colOff>1</xdr:colOff>
      <xdr:row>28</xdr:row>
      <xdr:rowOff>17319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4EEF60B2-5C6E-49B9-A693-1271C132DA23}"/>
            </a:ext>
          </a:extLst>
        </xdr:cNvPr>
        <xdr:cNvSpPr/>
      </xdr:nvSpPr>
      <xdr:spPr>
        <a:xfrm>
          <a:off x="15990744" y="16397287"/>
          <a:ext cx="658957" cy="1565132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12555</xdr:colOff>
      <xdr:row>19</xdr:row>
      <xdr:rowOff>33337</xdr:rowOff>
    </xdr:from>
    <xdr:to>
      <xdr:col>78</xdr:col>
      <xdr:colOff>45028</xdr:colOff>
      <xdr:row>28</xdr:row>
      <xdr:rowOff>9152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DACAB983-B64F-4095-B7C9-404F53769EE2}"/>
            </a:ext>
          </a:extLst>
        </xdr:cNvPr>
        <xdr:cNvSpPr/>
      </xdr:nvSpPr>
      <xdr:spPr>
        <a:xfrm>
          <a:off x="9118455" y="15692437"/>
          <a:ext cx="718273" cy="226181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92</xdr:col>
      <xdr:colOff>12555</xdr:colOff>
      <xdr:row>25</xdr:row>
      <xdr:rowOff>17318</xdr:rowOff>
    </xdr:from>
    <xdr:to>
      <xdr:col>93</xdr:col>
      <xdr:colOff>17318</xdr:colOff>
      <xdr:row>27</xdr:row>
      <xdr:rowOff>366341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660F2407-1B99-48A0-9DE8-834B6EFF099D}"/>
            </a:ext>
          </a:extLst>
        </xdr:cNvPr>
        <xdr:cNvSpPr/>
      </xdr:nvSpPr>
      <xdr:spPr>
        <a:xfrm>
          <a:off x="19405455" y="17200418"/>
          <a:ext cx="690563" cy="730023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93</xdr:col>
      <xdr:colOff>688830</xdr:colOff>
      <xdr:row>22</xdr:row>
      <xdr:rowOff>23812</xdr:rowOff>
    </xdr:from>
    <xdr:to>
      <xdr:col>95</xdr:col>
      <xdr:colOff>30740</xdr:colOff>
      <xdr:row>25</xdr:row>
      <xdr:rowOff>18678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AC51A149-525D-47DF-A792-91D234AE1ABB}"/>
            </a:ext>
          </a:extLst>
        </xdr:cNvPr>
        <xdr:cNvSpPr/>
      </xdr:nvSpPr>
      <xdr:spPr>
        <a:xfrm>
          <a:off x="20767530" y="16444912"/>
          <a:ext cx="713510" cy="756866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617824</xdr:colOff>
      <xdr:row>4</xdr:row>
      <xdr:rowOff>31607</xdr:rowOff>
    </xdr:from>
    <xdr:to>
      <xdr:col>77</xdr:col>
      <xdr:colOff>652462</xdr:colOff>
      <xdr:row>9</xdr:row>
      <xdr:rowOff>363682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8E1E0CB7-6A46-4204-9315-C7F6A73D8C1E}"/>
            </a:ext>
          </a:extLst>
        </xdr:cNvPr>
        <xdr:cNvSpPr/>
      </xdr:nvSpPr>
      <xdr:spPr>
        <a:xfrm>
          <a:off x="9037924" y="11842607"/>
          <a:ext cx="720438" cy="151317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674542</xdr:colOff>
      <xdr:row>23</xdr:row>
      <xdr:rowOff>166687</xdr:rowOff>
    </xdr:from>
    <xdr:to>
      <xdr:col>70</xdr:col>
      <xdr:colOff>16452</xdr:colOff>
      <xdr:row>31</xdr:row>
      <xdr:rowOff>28202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AB177AA6-DFD6-40B4-9AE6-2A4DE4983960}"/>
            </a:ext>
          </a:extLst>
        </xdr:cNvPr>
        <xdr:cNvSpPr/>
      </xdr:nvSpPr>
      <xdr:spPr>
        <a:xfrm>
          <a:off x="3608242" y="16778287"/>
          <a:ext cx="713510" cy="195701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625930</xdr:colOff>
      <xdr:row>15</xdr:row>
      <xdr:rowOff>367392</xdr:rowOff>
    </xdr:from>
    <xdr:to>
      <xdr:col>70</xdr:col>
      <xdr:colOff>54429</xdr:colOff>
      <xdr:row>18</xdr:row>
      <xdr:rowOff>54429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A6BECB2C-7955-4D06-82E8-4DA756650F60}"/>
            </a:ext>
          </a:extLst>
        </xdr:cNvPr>
        <xdr:cNvSpPr/>
      </xdr:nvSpPr>
      <xdr:spPr>
        <a:xfrm>
          <a:off x="3570021" y="14897347"/>
          <a:ext cx="813953" cy="44903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트레이서포트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ko-KR" altLang="en-US" sz="1000" b="1">
              <a:solidFill>
                <a:srgbClr val="FF0000"/>
              </a:solidFill>
            </a:rPr>
            <a:t>간섭</a:t>
          </a:r>
        </a:p>
      </xdr:txBody>
    </xdr:sp>
    <xdr:clientData/>
  </xdr:twoCellAnchor>
  <xdr:twoCellAnchor>
    <xdr:from>
      <xdr:col>81</xdr:col>
      <xdr:colOff>625929</xdr:colOff>
      <xdr:row>24</xdr:row>
      <xdr:rowOff>380998</xdr:rowOff>
    </xdr:from>
    <xdr:to>
      <xdr:col>83</xdr:col>
      <xdr:colOff>57214</xdr:colOff>
      <xdr:row>26</xdr:row>
      <xdr:rowOff>122463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70D25033-FEA3-4B04-8BA2-71158036913E}"/>
            </a:ext>
          </a:extLst>
        </xdr:cNvPr>
        <xdr:cNvSpPr/>
      </xdr:nvSpPr>
      <xdr:spPr>
        <a:xfrm>
          <a:off x="12575474" y="17196953"/>
          <a:ext cx="816740" cy="31296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가설수도간섭</a:t>
          </a:r>
        </a:p>
      </xdr:txBody>
    </xdr:sp>
    <xdr:clientData/>
  </xdr:twoCellAnchor>
  <xdr:twoCellAnchor>
    <xdr:from>
      <xdr:col>85</xdr:col>
      <xdr:colOff>689263</xdr:colOff>
      <xdr:row>21</xdr:row>
      <xdr:rowOff>363681</xdr:rowOff>
    </xdr:from>
    <xdr:to>
      <xdr:col>87</xdr:col>
      <xdr:colOff>31173</xdr:colOff>
      <xdr:row>31</xdr:row>
      <xdr:rowOff>161985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A54FF487-19D1-44DF-B72A-B5A58F9315A5}"/>
            </a:ext>
          </a:extLst>
        </xdr:cNvPr>
        <xdr:cNvSpPr/>
      </xdr:nvSpPr>
      <xdr:spPr>
        <a:xfrm>
          <a:off x="15409718" y="16417636"/>
          <a:ext cx="727364" cy="2465304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3030</xdr:colOff>
      <xdr:row>24</xdr:row>
      <xdr:rowOff>357187</xdr:rowOff>
    </xdr:from>
    <xdr:to>
      <xdr:col>95</xdr:col>
      <xdr:colOff>35502</xdr:colOff>
      <xdr:row>28</xdr:row>
      <xdr:rowOff>47253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284BCB62-6817-4240-A78C-41BCDB44ABB2}"/>
            </a:ext>
          </a:extLst>
        </xdr:cNvPr>
        <xdr:cNvSpPr/>
      </xdr:nvSpPr>
      <xdr:spPr>
        <a:xfrm>
          <a:off x="20958030" y="17173142"/>
          <a:ext cx="725199" cy="833066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78</xdr:col>
      <xdr:colOff>47625</xdr:colOff>
      <xdr:row>13</xdr:row>
      <xdr:rowOff>0</xdr:rowOff>
    </xdr:from>
    <xdr:to>
      <xdr:col>80</xdr:col>
      <xdr:colOff>45027</xdr:colOff>
      <xdr:row>17</xdr:row>
      <xdr:rowOff>32965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D8E8528C-CC6E-467D-87EF-E5F0E5ABF88E}"/>
            </a:ext>
          </a:extLst>
        </xdr:cNvPr>
        <xdr:cNvSpPr/>
      </xdr:nvSpPr>
      <xdr:spPr>
        <a:xfrm>
          <a:off x="9918989" y="14148955"/>
          <a:ext cx="1382856" cy="98546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80</xdr:col>
      <xdr:colOff>665017</xdr:colOff>
      <xdr:row>12</xdr:row>
      <xdr:rowOff>366712</xdr:rowOff>
    </xdr:from>
    <xdr:to>
      <xdr:col>82</xdr:col>
      <xdr:colOff>6927</xdr:colOff>
      <xdr:row>17</xdr:row>
      <xdr:rowOff>18677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BD0BE1C9-6F38-4CDB-8DB4-287E9C12D271}"/>
            </a:ext>
          </a:extLst>
        </xdr:cNvPr>
        <xdr:cNvSpPr/>
      </xdr:nvSpPr>
      <xdr:spPr>
        <a:xfrm>
          <a:off x="11921835" y="14134667"/>
          <a:ext cx="727365" cy="98546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26844</xdr:colOff>
      <xdr:row>21</xdr:row>
      <xdr:rowOff>357187</xdr:rowOff>
    </xdr:from>
    <xdr:to>
      <xdr:col>88</xdr:col>
      <xdr:colOff>1</xdr:colOff>
      <xdr:row>28</xdr:row>
      <xdr:rowOff>17319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E51269B5-2053-41BA-A356-AED5974599CF}"/>
            </a:ext>
          </a:extLst>
        </xdr:cNvPr>
        <xdr:cNvSpPr/>
      </xdr:nvSpPr>
      <xdr:spPr>
        <a:xfrm>
          <a:off x="16132753" y="16411142"/>
          <a:ext cx="665884" cy="1565132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12555</xdr:colOff>
      <xdr:row>19</xdr:row>
      <xdr:rowOff>33337</xdr:rowOff>
    </xdr:from>
    <xdr:to>
      <xdr:col>78</xdr:col>
      <xdr:colOff>45028</xdr:colOff>
      <xdr:row>28</xdr:row>
      <xdr:rowOff>9152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DF0B2DFF-1DF9-4329-B616-48845C869A08}"/>
            </a:ext>
          </a:extLst>
        </xdr:cNvPr>
        <xdr:cNvSpPr/>
      </xdr:nvSpPr>
      <xdr:spPr>
        <a:xfrm>
          <a:off x="9191191" y="15706292"/>
          <a:ext cx="725201" cy="226181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92</xdr:col>
      <xdr:colOff>12555</xdr:colOff>
      <xdr:row>25</xdr:row>
      <xdr:rowOff>17318</xdr:rowOff>
    </xdr:from>
    <xdr:to>
      <xdr:col>93</xdr:col>
      <xdr:colOff>17318</xdr:colOff>
      <xdr:row>27</xdr:row>
      <xdr:rowOff>366341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99B99D2B-1CC9-4DF9-8773-BEE45BE14060}"/>
            </a:ext>
          </a:extLst>
        </xdr:cNvPr>
        <xdr:cNvSpPr/>
      </xdr:nvSpPr>
      <xdr:spPr>
        <a:xfrm>
          <a:off x="19582100" y="17214273"/>
          <a:ext cx="697491" cy="730023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93</xdr:col>
      <xdr:colOff>688830</xdr:colOff>
      <xdr:row>22</xdr:row>
      <xdr:rowOff>23812</xdr:rowOff>
    </xdr:from>
    <xdr:to>
      <xdr:col>95</xdr:col>
      <xdr:colOff>30740</xdr:colOff>
      <xdr:row>25</xdr:row>
      <xdr:rowOff>18678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D94E6A1-24A8-44A2-8D38-1923250BB8DF}"/>
            </a:ext>
          </a:extLst>
        </xdr:cNvPr>
        <xdr:cNvSpPr/>
      </xdr:nvSpPr>
      <xdr:spPr>
        <a:xfrm>
          <a:off x="20951103" y="16458767"/>
          <a:ext cx="727364" cy="756866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617824</xdr:colOff>
      <xdr:row>4</xdr:row>
      <xdr:rowOff>31607</xdr:rowOff>
    </xdr:from>
    <xdr:to>
      <xdr:col>77</xdr:col>
      <xdr:colOff>652462</xdr:colOff>
      <xdr:row>9</xdr:row>
      <xdr:rowOff>363682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96F4F8-7C04-4C75-B7D1-BA20640338B0}"/>
            </a:ext>
          </a:extLst>
        </xdr:cNvPr>
        <xdr:cNvSpPr/>
      </xdr:nvSpPr>
      <xdr:spPr>
        <a:xfrm>
          <a:off x="9103733" y="11859925"/>
          <a:ext cx="727365" cy="1509712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674542</xdr:colOff>
      <xdr:row>23</xdr:row>
      <xdr:rowOff>166687</xdr:rowOff>
    </xdr:from>
    <xdr:to>
      <xdr:col>70</xdr:col>
      <xdr:colOff>16452</xdr:colOff>
      <xdr:row>31</xdr:row>
      <xdr:rowOff>28202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1C22EBE6-2CD4-4CC3-9E58-6BC6C79F775C}"/>
            </a:ext>
          </a:extLst>
        </xdr:cNvPr>
        <xdr:cNvSpPr/>
      </xdr:nvSpPr>
      <xdr:spPr>
        <a:xfrm>
          <a:off x="3618633" y="16792142"/>
          <a:ext cx="727364" cy="1957015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468024</xdr:colOff>
      <xdr:row>0</xdr:row>
      <xdr:rowOff>467592</xdr:rowOff>
    </xdr:from>
    <xdr:to>
      <xdr:col>43</xdr:col>
      <xdr:colOff>294409</xdr:colOff>
      <xdr:row>1</xdr:row>
      <xdr:rowOff>467593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7E63B817-E2A9-40B1-B370-446E40EDAF17}"/>
            </a:ext>
          </a:extLst>
        </xdr:cNvPr>
        <xdr:cNvSpPr/>
      </xdr:nvSpPr>
      <xdr:spPr>
        <a:xfrm>
          <a:off x="28454206" y="467592"/>
          <a:ext cx="1263794" cy="502228"/>
        </a:xfrm>
        <a:prstGeom prst="rect">
          <a:avLst/>
        </a:prstGeom>
        <a:solidFill>
          <a:srgbClr val="FFFF00">
            <a:alpha val="65000"/>
          </a:srgbClr>
        </a:solidFill>
        <a:ln w="539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설치가능구간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5993A9-A8B9-4E79-BDF9-324AD0D64B0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a16c114-16c0-4dc4-b66f-eefc796b739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P97"/>
  <sheetViews>
    <sheetView zoomScale="55" zoomScaleNormal="55" workbookViewId="0">
      <pane xSplit="1" ySplit="2" topLeftCell="AB60" activePane="bottomRight" state="frozen"/>
      <selection pane="topRight" activeCell="B1" sqref="B1"/>
      <selection pane="bottomLeft" activeCell="A3" sqref="A3"/>
      <selection pane="bottomRight" activeCell="BI87" sqref="BI87:BM90"/>
    </sheetView>
  </sheetViews>
  <sheetFormatPr defaultRowHeight="16.5" x14ac:dyDescent="0.3"/>
  <cols>
    <col min="2" max="2" width="2.375" customWidth="1"/>
    <col min="38" max="38" width="9.875" bestFit="1" customWidth="1"/>
    <col min="41" max="41" width="9.875" bestFit="1" customWidth="1"/>
    <col min="43" max="43" width="9.875" bestFit="1" customWidth="1"/>
    <col min="45" max="46" width="9.875" bestFit="1" customWidth="1"/>
    <col min="54" max="54" width="9.875" bestFit="1" customWidth="1"/>
    <col min="56" max="56" width="9.875" bestFit="1" customWidth="1"/>
    <col min="61" max="61" width="9.875" bestFit="1" customWidth="1"/>
  </cols>
  <sheetData>
    <row r="1" spans="1:65" s="2" customFormat="1" ht="39" customHeight="1" thickBot="1" x14ac:dyDescent="0.35">
      <c r="A1" s="941">
        <f ca="1">TODAY()</f>
        <v>46199</v>
      </c>
      <c r="B1" s="1"/>
      <c r="C1" s="942" t="s">
        <v>123</v>
      </c>
      <c r="D1" s="943"/>
      <c r="E1" s="943"/>
      <c r="F1" s="943"/>
      <c r="G1" s="943"/>
      <c r="H1" s="943"/>
      <c r="I1" s="943"/>
      <c r="J1" s="943"/>
      <c r="K1" s="944"/>
      <c r="L1" s="948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49"/>
      <c r="AI1" s="949"/>
      <c r="AJ1" s="949"/>
      <c r="AK1" s="949"/>
      <c r="AL1" s="949"/>
      <c r="AM1" s="949"/>
      <c r="AN1" s="949"/>
      <c r="AO1" s="950"/>
      <c r="AV1" s="23"/>
      <c r="AW1" s="24"/>
      <c r="AX1" s="25"/>
      <c r="AY1" s="24"/>
      <c r="AZ1" s="25"/>
      <c r="BA1" s="4"/>
      <c r="BB1" s="25"/>
      <c r="BC1" s="4"/>
      <c r="BD1" s="25"/>
    </row>
    <row r="2" spans="1:65" s="2" customFormat="1" ht="39" customHeight="1" thickBot="1" x14ac:dyDescent="0.35">
      <c r="A2" s="941"/>
      <c r="B2" s="1"/>
      <c r="C2" s="945"/>
      <c r="D2" s="946"/>
      <c r="E2" s="946"/>
      <c r="F2" s="946"/>
      <c r="G2" s="946"/>
      <c r="H2" s="946"/>
      <c r="I2" s="946"/>
      <c r="J2" s="946"/>
      <c r="K2" s="947"/>
      <c r="L2" s="948"/>
      <c r="M2" s="949"/>
      <c r="N2" s="949"/>
      <c r="O2" s="949"/>
      <c r="P2" s="949"/>
      <c r="Q2" s="949"/>
      <c r="R2" s="949"/>
      <c r="S2" s="949"/>
      <c r="T2" s="949"/>
      <c r="U2" s="949"/>
      <c r="V2" s="949"/>
      <c r="W2" s="949"/>
      <c r="X2" s="949"/>
      <c r="Y2" s="949"/>
      <c r="Z2" s="949"/>
      <c r="AA2" s="949"/>
      <c r="AB2" s="949"/>
      <c r="AC2" s="949"/>
      <c r="AD2" s="949"/>
      <c r="AE2" s="949"/>
      <c r="AF2" s="949"/>
      <c r="AG2" s="949"/>
      <c r="AH2" s="949"/>
      <c r="AI2" s="949"/>
      <c r="AJ2" s="949"/>
      <c r="AK2" s="949"/>
      <c r="AL2" s="949"/>
      <c r="AM2" s="949"/>
      <c r="AN2" s="949"/>
      <c r="AO2" s="950"/>
      <c r="AR2" s="3"/>
      <c r="AS2" s="291"/>
      <c r="AT2" s="3" t="s">
        <v>252</v>
      </c>
      <c r="AU2" s="292"/>
      <c r="AV2" s="3" t="s">
        <v>253</v>
      </c>
      <c r="AW2" s="388"/>
      <c r="AX2" s="3" t="s">
        <v>251</v>
      </c>
      <c r="AY2" s="472"/>
      <c r="AZ2" s="3" t="s">
        <v>107</v>
      </c>
      <c r="BA2" s="465"/>
      <c r="BB2" s="3" t="s">
        <v>286</v>
      </c>
      <c r="BC2" s="441"/>
      <c r="BD2" s="3" t="s">
        <v>108</v>
      </c>
      <c r="BE2" s="353"/>
      <c r="BF2" s="3" t="s">
        <v>0</v>
      </c>
      <c r="BG2" s="354"/>
      <c r="BH2" s="85" t="s">
        <v>167</v>
      </c>
      <c r="BI2" s="354"/>
      <c r="BJ2" s="85" t="s">
        <v>249</v>
      </c>
    </row>
    <row r="3" spans="1:65" s="2" customFormat="1" ht="12" customHeight="1" thickBot="1" x14ac:dyDescent="0.35">
      <c r="B3"/>
      <c r="C3"/>
    </row>
    <row r="4" spans="1:65" s="1" customFormat="1" ht="29.25" customHeight="1" thickBot="1" x14ac:dyDescent="0.35">
      <c r="A4" s="6" t="s">
        <v>1</v>
      </c>
      <c r="B4"/>
      <c r="C4" s="71" t="s">
        <v>124</v>
      </c>
      <c r="D4" s="13" t="s">
        <v>125</v>
      </c>
      <c r="E4" s="13" t="s">
        <v>125</v>
      </c>
      <c r="F4" s="13" t="s">
        <v>125</v>
      </c>
      <c r="G4" s="13" t="s">
        <v>126</v>
      </c>
      <c r="H4" s="13" t="s">
        <v>127</v>
      </c>
      <c r="I4" s="13" t="s">
        <v>127</v>
      </c>
      <c r="J4" s="13" t="s">
        <v>127</v>
      </c>
      <c r="K4" s="13" t="s">
        <v>127</v>
      </c>
      <c r="L4" s="13" t="s">
        <v>128</v>
      </c>
      <c r="M4" s="13" t="s">
        <v>129</v>
      </c>
      <c r="N4" s="13" t="s">
        <v>129</v>
      </c>
      <c r="O4" s="13" t="s">
        <v>130</v>
      </c>
      <c r="P4" s="13" t="s">
        <v>130</v>
      </c>
      <c r="Q4" s="13" t="s">
        <v>134</v>
      </c>
      <c r="R4" s="13" t="s">
        <v>134</v>
      </c>
      <c r="S4" s="13" t="s">
        <v>131</v>
      </c>
      <c r="T4" s="13" t="s">
        <v>132</v>
      </c>
      <c r="U4" s="13" t="s">
        <v>109</v>
      </c>
      <c r="V4" s="520" t="s">
        <v>133</v>
      </c>
      <c r="W4" s="519" t="s">
        <v>133</v>
      </c>
      <c r="X4" s="518" t="s">
        <v>133</v>
      </c>
      <c r="Y4" s="517" t="s">
        <v>133</v>
      </c>
      <c r="Z4" s="235" t="s">
        <v>1</v>
      </c>
      <c r="AA4" s="236" t="s">
        <v>2</v>
      </c>
      <c r="AB4" s="1037" t="s">
        <v>5</v>
      </c>
      <c r="AC4" s="1034"/>
      <c r="AD4" s="1034"/>
      <c r="AE4" s="1034"/>
      <c r="AF4" s="1034"/>
      <c r="AG4" s="1035"/>
      <c r="AH4" s="1037" t="s">
        <v>3</v>
      </c>
      <c r="AI4" s="1034"/>
      <c r="AJ4" s="1034"/>
      <c r="AK4" s="1034"/>
      <c r="AL4" s="1035"/>
      <c r="AM4" s="1037" t="s">
        <v>4</v>
      </c>
      <c r="AN4" s="1034"/>
      <c r="AO4" s="1035"/>
      <c r="AP4" s="1033" t="s">
        <v>180</v>
      </c>
      <c r="AQ4" s="1034"/>
      <c r="AR4" s="1034"/>
      <c r="AS4" s="1035"/>
      <c r="AT4" s="1036" t="s">
        <v>181</v>
      </c>
      <c r="AU4" s="1034"/>
      <c r="AV4" s="1034"/>
      <c r="AW4" s="1034"/>
      <c r="AX4" s="1034"/>
      <c r="AY4" s="1034"/>
      <c r="AZ4" s="1034"/>
      <c r="BA4" s="1035"/>
      <c r="BB4" s="1037" t="s">
        <v>61</v>
      </c>
      <c r="BC4" s="1035"/>
      <c r="BD4" s="1037" t="s">
        <v>62</v>
      </c>
      <c r="BE4" s="1034"/>
      <c r="BF4" s="1034"/>
      <c r="BG4" s="1034"/>
      <c r="BH4" s="1034"/>
      <c r="BI4" s="1034"/>
      <c r="BJ4" s="1034"/>
      <c r="BK4" s="1034"/>
      <c r="BL4" s="1034"/>
      <c r="BM4" s="1035"/>
    </row>
    <row r="5" spans="1:65" s="2" customFormat="1" ht="21.95" customHeight="1" x14ac:dyDescent="0.3">
      <c r="A5" s="18" t="s">
        <v>6</v>
      </c>
      <c r="B5"/>
      <c r="C5" s="157"/>
      <c r="D5" s="144"/>
      <c r="E5" s="144"/>
      <c r="F5" s="144"/>
      <c r="G5" s="158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9"/>
      <c r="Z5" s="239" t="s">
        <v>6</v>
      </c>
      <c r="AA5" s="237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0"/>
      <c r="AM5" s="335"/>
      <c r="AN5" s="335"/>
      <c r="AO5" s="30"/>
      <c r="AP5" s="335"/>
      <c r="AQ5" s="30"/>
      <c r="AR5" s="335"/>
      <c r="AS5" s="30"/>
      <c r="AT5" s="30"/>
      <c r="AU5" s="335"/>
      <c r="AV5" s="335"/>
      <c r="AW5" s="335"/>
      <c r="AX5" s="30"/>
      <c r="AY5" s="335"/>
      <c r="AZ5" s="335"/>
      <c r="BA5" s="335"/>
      <c r="BB5" s="30"/>
      <c r="BC5" s="335"/>
      <c r="BD5" s="30"/>
      <c r="BE5" s="335"/>
      <c r="BF5" s="335"/>
      <c r="BG5" s="335"/>
      <c r="BH5" s="335"/>
      <c r="BI5" s="30"/>
      <c r="BJ5" s="335"/>
      <c r="BK5" s="335"/>
      <c r="BL5" s="335"/>
      <c r="BM5" s="336"/>
    </row>
    <row r="6" spans="1:65" s="2" customFormat="1" ht="15" customHeight="1" x14ac:dyDescent="0.3">
      <c r="A6" s="19" t="s">
        <v>7</v>
      </c>
      <c r="B6"/>
      <c r="C6" s="14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 s="93"/>
      <c r="Z6" s="240" t="s">
        <v>7</v>
      </c>
      <c r="AA6" s="1040"/>
      <c r="AB6" s="256"/>
      <c r="AC6" s="256"/>
      <c r="AD6" s="256"/>
      <c r="AE6" s="256"/>
      <c r="AF6" s="256"/>
      <c r="AG6" s="268"/>
      <c r="AH6" s="256"/>
      <c r="AI6" s="256"/>
      <c r="AJ6" s="268"/>
      <c r="AK6" s="256"/>
      <c r="AL6" s="197"/>
      <c r="AM6" s="256"/>
      <c r="AN6" s="256"/>
      <c r="AO6" s="197"/>
      <c r="AP6" s="256"/>
      <c r="AQ6" s="197"/>
      <c r="AR6" s="256"/>
      <c r="AS6" s="199"/>
      <c r="AT6" s="200"/>
      <c r="AU6" s="256"/>
      <c r="AV6" s="256"/>
      <c r="AW6" s="256"/>
      <c r="AX6"/>
      <c r="AY6" s="256"/>
      <c r="AZ6" s="268"/>
      <c r="BA6" s="256"/>
      <c r="BB6" s="197"/>
      <c r="BC6" s="256"/>
      <c r="BD6" s="197"/>
      <c r="BE6" s="256"/>
      <c r="BF6" s="268"/>
      <c r="BG6" s="256"/>
      <c r="BH6" s="256"/>
      <c r="BI6" s="197"/>
      <c r="BJ6" s="268"/>
      <c r="BK6" s="256"/>
      <c r="BL6" s="268"/>
      <c r="BM6" s="275"/>
    </row>
    <row r="7" spans="1:65" s="1" customFormat="1" ht="30" customHeight="1" x14ac:dyDescent="0.3">
      <c r="A7" s="6" t="s">
        <v>8</v>
      </c>
      <c r="B7"/>
      <c r="C7" s="955"/>
      <c r="D7" s="957"/>
      <c r="E7" s="957"/>
      <c r="F7" s="957"/>
      <c r="G7" s="957"/>
      <c r="H7" s="957"/>
      <c r="I7" s="957"/>
      <c r="J7" s="957"/>
      <c r="K7" s="957"/>
      <c r="L7" s="957"/>
      <c r="M7" s="957"/>
      <c r="N7" s="957"/>
      <c r="O7" s="957"/>
      <c r="P7" s="957"/>
      <c r="Q7" s="957"/>
      <c r="R7" s="957"/>
      <c r="S7" s="957"/>
      <c r="T7" s="957"/>
      <c r="U7" s="957"/>
      <c r="V7" s="957"/>
      <c r="W7" s="957"/>
      <c r="X7" s="957"/>
      <c r="Y7" s="979"/>
      <c r="Z7" s="241" t="s">
        <v>8</v>
      </c>
      <c r="AA7" s="1041"/>
      <c r="AB7" s="257">
        <v>26</v>
      </c>
      <c r="AC7" s="262">
        <v>17</v>
      </c>
      <c r="AD7" s="257">
        <v>26</v>
      </c>
      <c r="AE7" s="265">
        <v>20.816326530612244</v>
      </c>
      <c r="AF7" s="266">
        <v>14.020618556701031</v>
      </c>
      <c r="AG7" s="266">
        <v>23.129251700680275</v>
      </c>
      <c r="AH7" s="265">
        <v>20</v>
      </c>
      <c r="AI7" s="265">
        <v>45</v>
      </c>
      <c r="AJ7" s="266">
        <v>8.2721649484536091</v>
      </c>
      <c r="AK7" s="265">
        <v>28.607232366630864</v>
      </c>
      <c r="AL7" s="204"/>
      <c r="AM7" s="265">
        <v>5.4779806659505912</v>
      </c>
      <c r="AN7" s="265">
        <v>14.581443298969072</v>
      </c>
      <c r="AO7" s="204"/>
      <c r="AP7" s="265">
        <v>20</v>
      </c>
      <c r="AQ7" s="204"/>
      <c r="AR7" s="265">
        <v>47</v>
      </c>
      <c r="AS7" s="205"/>
      <c r="AT7" s="206"/>
      <c r="AU7" s="265">
        <v>63</v>
      </c>
      <c r="AV7" s="265">
        <v>38</v>
      </c>
      <c r="AW7" s="265">
        <v>19.903329752953812</v>
      </c>
      <c r="AX7" s="207"/>
      <c r="AY7" s="265">
        <v>7.8122977346278315</v>
      </c>
      <c r="AZ7" s="266">
        <v>18.647422680412372</v>
      </c>
      <c r="BA7" s="265">
        <v>53</v>
      </c>
      <c r="BB7" s="204"/>
      <c r="BC7" s="265">
        <v>17.80618556701031</v>
      </c>
      <c r="BD7" s="204"/>
      <c r="BE7" s="265">
        <v>34</v>
      </c>
      <c r="BF7" s="266">
        <v>24.894378804153241</v>
      </c>
      <c r="BG7" s="265"/>
      <c r="BH7" s="265">
        <v>19.964196204797709</v>
      </c>
      <c r="BI7" s="204"/>
      <c r="BJ7" s="266">
        <v>13.740206185567011</v>
      </c>
      <c r="BK7" s="265">
        <v>4.9910490511994272</v>
      </c>
      <c r="BL7" s="266">
        <v>52</v>
      </c>
      <c r="BM7" s="274">
        <v>13.038834951456311</v>
      </c>
    </row>
    <row r="8" spans="1:65" s="1" customFormat="1" ht="15" customHeight="1" x14ac:dyDescent="0.3">
      <c r="A8" s="6" t="s">
        <v>101</v>
      </c>
      <c r="B8"/>
      <c r="C8" s="955"/>
      <c r="D8" s="957"/>
      <c r="E8" s="957"/>
      <c r="F8" s="957"/>
      <c r="G8" s="957"/>
      <c r="H8" s="957"/>
      <c r="I8" s="957"/>
      <c r="J8" s="957"/>
      <c r="K8" s="957"/>
      <c r="L8" s="957"/>
      <c r="M8" s="957"/>
      <c r="N8" s="957"/>
      <c r="O8" s="957"/>
      <c r="P8" s="957"/>
      <c r="Q8" s="957"/>
      <c r="R8" s="957"/>
      <c r="S8" s="957"/>
      <c r="T8" s="957"/>
      <c r="U8" s="957"/>
      <c r="V8" s="957"/>
      <c r="W8" s="957"/>
      <c r="X8" s="957"/>
      <c r="Y8" s="979"/>
      <c r="Z8" s="241" t="s">
        <v>101</v>
      </c>
      <c r="AA8" s="1042"/>
      <c r="AB8" s="258"/>
      <c r="AC8" s="262"/>
      <c r="AD8" s="257"/>
      <c r="AE8" s="262"/>
      <c r="AF8" s="257"/>
      <c r="AG8" s="257"/>
      <c r="AH8" s="262"/>
      <c r="AI8" s="262"/>
      <c r="AJ8" s="257"/>
      <c r="AK8" s="262"/>
      <c r="AL8" s="128"/>
      <c r="AM8" s="262"/>
      <c r="AN8" s="262"/>
      <c r="AO8" s="128"/>
      <c r="AP8" s="262"/>
      <c r="AQ8" s="128"/>
      <c r="AR8" s="458"/>
      <c r="AS8" s="201"/>
      <c r="AT8" s="202"/>
      <c r="AU8" s="458"/>
      <c r="AV8" s="458"/>
      <c r="AW8" s="458"/>
      <c r="AX8" s="141"/>
      <c r="AY8" s="458"/>
      <c r="AZ8" s="457"/>
      <c r="BA8" s="262"/>
      <c r="BB8" s="128"/>
      <c r="BC8" s="458"/>
      <c r="BD8" s="128"/>
      <c r="BE8" s="458"/>
      <c r="BF8" s="457"/>
      <c r="BG8" s="458"/>
      <c r="BH8" s="262"/>
      <c r="BI8" s="128"/>
      <c r="BJ8" s="457"/>
      <c r="BK8" s="458"/>
      <c r="BL8" s="457"/>
      <c r="BM8" s="460"/>
    </row>
    <row r="9" spans="1:65" s="2" customFormat="1" ht="15" customHeight="1" x14ac:dyDescent="0.3">
      <c r="A9" s="19" t="s">
        <v>9</v>
      </c>
      <c r="B9"/>
      <c r="C9" s="955"/>
      <c r="D9" s="957"/>
      <c r="E9" s="957"/>
      <c r="F9" s="957"/>
      <c r="G9" s="957"/>
      <c r="H9" s="957"/>
      <c r="I9" s="957"/>
      <c r="J9" s="957"/>
      <c r="K9" s="957"/>
      <c r="L9" s="957"/>
      <c r="M9" s="957"/>
      <c r="N9" s="957"/>
      <c r="O9" s="957"/>
      <c r="P9" s="957"/>
      <c r="Q9" s="957"/>
      <c r="R9" s="957"/>
      <c r="S9" s="957"/>
      <c r="T9" s="957"/>
      <c r="U9" s="957"/>
      <c r="V9" s="957"/>
      <c r="W9" s="957"/>
      <c r="X9" s="957"/>
      <c r="Y9" s="979"/>
      <c r="Z9" s="240" t="s">
        <v>9</v>
      </c>
      <c r="AA9" s="253"/>
      <c r="AB9" s="259"/>
      <c r="AC9" s="259"/>
      <c r="AD9" s="259"/>
      <c r="AE9" s="259"/>
      <c r="AF9" s="259"/>
      <c r="AG9" s="261"/>
      <c r="AH9" s="259"/>
      <c r="AI9" s="259"/>
      <c r="AJ9" s="259"/>
      <c r="AK9" s="259"/>
      <c r="AL9" s="261"/>
      <c r="AM9" s="263"/>
      <c r="AN9" s="259"/>
      <c r="AO9" s="261"/>
      <c r="AP9" s="259"/>
      <c r="AQ9" s="140"/>
      <c r="AR9" s="263"/>
      <c r="AS9" s="159"/>
      <c r="AT9" s="261"/>
      <c r="AU9" s="259"/>
      <c r="AV9" s="263"/>
      <c r="AW9" s="261"/>
      <c r="AX9" s="261"/>
      <c r="AY9" s="263"/>
      <c r="AZ9" s="259"/>
      <c r="BA9" s="261"/>
      <c r="BB9" s="261"/>
      <c r="BC9" s="259"/>
      <c r="BD9" s="261"/>
      <c r="BE9" s="259"/>
      <c r="BF9" s="259"/>
      <c r="BG9" s="263"/>
      <c r="BH9" s="263"/>
      <c r="BI9" s="261"/>
      <c r="BJ9" s="261"/>
      <c r="BK9" s="263"/>
      <c r="BL9" s="259"/>
      <c r="BM9" s="273"/>
    </row>
    <row r="10" spans="1:65" s="1" customFormat="1" ht="30" customHeight="1" x14ac:dyDescent="0.3">
      <c r="A10" s="6" t="s">
        <v>10</v>
      </c>
      <c r="B10"/>
      <c r="C10" s="955"/>
      <c r="D10" s="957"/>
      <c r="E10" s="957"/>
      <c r="F10" s="957"/>
      <c r="G10" s="957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  <c r="T10" s="957"/>
      <c r="U10" s="957"/>
      <c r="V10" s="957"/>
      <c r="W10" s="957"/>
      <c r="X10" s="957"/>
      <c r="Y10" s="979"/>
      <c r="Z10" s="241" t="s">
        <v>10</v>
      </c>
      <c r="AA10" s="254">
        <v>17</v>
      </c>
      <c r="AB10" s="260">
        <v>59</v>
      </c>
      <c r="AC10" s="262">
        <v>28</v>
      </c>
      <c r="AD10" s="257">
        <v>58</v>
      </c>
      <c r="AE10" s="266">
        <v>46.04081632653061</v>
      </c>
      <c r="AF10" s="266">
        <v>31.010309278350519</v>
      </c>
      <c r="AG10" s="389">
        <v>51.156462585034014</v>
      </c>
      <c r="AH10" s="390">
        <v>32</v>
      </c>
      <c r="AI10" s="390">
        <v>37</v>
      </c>
      <c r="AJ10" s="389">
        <v>18.296082474226804</v>
      </c>
      <c r="AK10" s="390">
        <v>63.272466881489436</v>
      </c>
      <c r="AL10" s="389">
        <v>29.176328502415458</v>
      </c>
      <c r="AM10" s="265">
        <v>12.116004296455424</v>
      </c>
      <c r="AN10" s="265">
        <v>32.250721649484539</v>
      </c>
      <c r="AO10" s="266">
        <v>21.646831156265119</v>
      </c>
      <c r="AP10" s="265">
        <v>14</v>
      </c>
      <c r="AQ10" s="266">
        <v>10.941434846266471</v>
      </c>
      <c r="AR10" s="265">
        <v>56</v>
      </c>
      <c r="AS10" s="185"/>
      <c r="AT10" s="266">
        <v>19.061493411420205</v>
      </c>
      <c r="AU10" s="265">
        <v>33</v>
      </c>
      <c r="AV10" s="265">
        <v>68.676333691371298</v>
      </c>
      <c r="AW10" s="266">
        <v>44.021482277121372</v>
      </c>
      <c r="AX10" s="266">
        <v>8.9458272327964856</v>
      </c>
      <c r="AY10" s="265">
        <v>17.278964401294498</v>
      </c>
      <c r="AZ10" s="266">
        <v>45.243711340206197</v>
      </c>
      <c r="BA10" s="266">
        <v>62</v>
      </c>
      <c r="BB10" s="266">
        <v>17.822840409956076</v>
      </c>
      <c r="BC10" s="382">
        <v>39.383092783505155</v>
      </c>
      <c r="BD10" s="266">
        <v>11.767203513909225</v>
      </c>
      <c r="BE10" s="265">
        <v>34</v>
      </c>
      <c r="BF10" s="266">
        <v>55.060508413891874</v>
      </c>
      <c r="BG10" s="265">
        <v>16.51537335285505</v>
      </c>
      <c r="BH10" s="265">
        <v>44.156104547081988</v>
      </c>
      <c r="BI10" s="266">
        <v>14.283367556468173</v>
      </c>
      <c r="BJ10" s="266">
        <v>30.390103092783509</v>
      </c>
      <c r="BK10" s="265">
        <v>11.039026136770497</v>
      </c>
      <c r="BL10" s="266">
        <v>40.468453608247422</v>
      </c>
      <c r="BM10" s="274">
        <v>28.83883495145631</v>
      </c>
    </row>
    <row r="11" spans="1:65" s="1" customFormat="1" ht="12.75" customHeight="1" x14ac:dyDescent="0.3">
      <c r="A11" s="6" t="s">
        <v>102</v>
      </c>
      <c r="B11"/>
      <c r="C11" s="955"/>
      <c r="D11" s="957"/>
      <c r="E11" s="957"/>
      <c r="F11" s="957"/>
      <c r="G11" s="957"/>
      <c r="H11" s="957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  <c r="T11" s="957"/>
      <c r="U11" s="957"/>
      <c r="V11" s="957"/>
      <c r="W11" s="957"/>
      <c r="X11" s="957"/>
      <c r="Y11" s="979"/>
      <c r="Z11" s="241" t="s">
        <v>102</v>
      </c>
      <c r="AA11" s="456"/>
      <c r="AB11" s="257"/>
      <c r="AC11" s="262"/>
      <c r="AD11" s="257"/>
      <c r="AE11" s="257"/>
      <c r="AF11" s="257"/>
      <c r="AG11" s="257"/>
      <c r="AH11" s="262"/>
      <c r="AI11" s="262"/>
      <c r="AJ11" s="257"/>
      <c r="AK11" s="262"/>
      <c r="AL11" s="257"/>
      <c r="AM11" s="262"/>
      <c r="AN11" s="262"/>
      <c r="AO11" s="257"/>
      <c r="AP11" s="262"/>
      <c r="AQ11" s="257"/>
      <c r="AR11" s="458"/>
      <c r="AS11" s="198"/>
      <c r="AT11" s="457"/>
      <c r="AU11" s="458"/>
      <c r="AV11" s="458"/>
      <c r="AW11" s="457"/>
      <c r="AX11" s="257"/>
      <c r="AY11" s="262"/>
      <c r="AZ11" s="457"/>
      <c r="BA11" s="457"/>
      <c r="BB11" s="457"/>
      <c r="BC11" s="457"/>
      <c r="BD11" s="457"/>
      <c r="BE11" s="262"/>
      <c r="BF11" s="457"/>
      <c r="BG11" s="458"/>
      <c r="BH11" s="458"/>
      <c r="BI11" s="457"/>
      <c r="BJ11" s="457"/>
      <c r="BK11" s="458"/>
      <c r="BL11" s="257"/>
      <c r="BM11" s="460"/>
    </row>
    <row r="12" spans="1:65" s="2" customFormat="1" ht="15" customHeight="1" x14ac:dyDescent="0.3">
      <c r="A12" s="19" t="s">
        <v>11</v>
      </c>
      <c r="B12"/>
      <c r="C12" s="955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  <c r="T12" s="957"/>
      <c r="U12" s="957"/>
      <c r="V12" s="957"/>
      <c r="W12" s="957"/>
      <c r="X12" s="957"/>
      <c r="Y12" s="979"/>
      <c r="Z12" s="240" t="s">
        <v>11</v>
      </c>
      <c r="AA12" s="255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61"/>
      <c r="AM12" s="259"/>
      <c r="AN12" s="259"/>
      <c r="AO12" s="261"/>
      <c r="AP12" s="263"/>
      <c r="AQ12" s="261"/>
      <c r="AR12" s="339"/>
      <c r="AS12" s="261"/>
      <c r="AT12" s="261"/>
      <c r="AU12" s="259"/>
      <c r="AV12" s="259"/>
      <c r="AW12" s="261"/>
      <c r="AX12" s="259"/>
      <c r="AY12" s="259"/>
      <c r="AZ12" s="259"/>
      <c r="BA12" s="33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73"/>
    </row>
    <row r="13" spans="1:65" s="1" customFormat="1" ht="30" customHeight="1" x14ac:dyDescent="0.3">
      <c r="A13" s="6" t="s">
        <v>12</v>
      </c>
      <c r="B13"/>
      <c r="C13" s="955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  <c r="T13" s="957"/>
      <c r="U13" s="957"/>
      <c r="V13" s="957"/>
      <c r="W13" s="957"/>
      <c r="X13" s="957"/>
      <c r="Y13" s="979"/>
      <c r="Z13" s="241" t="s">
        <v>12</v>
      </c>
      <c r="AA13" s="254">
        <v>29</v>
      </c>
      <c r="AB13" s="480">
        <v>50</v>
      </c>
      <c r="AC13" s="392">
        <v>27</v>
      </c>
      <c r="AD13" s="257">
        <v>49</v>
      </c>
      <c r="AE13" s="266">
        <v>39.183673469387756</v>
      </c>
      <c r="AF13" s="266">
        <v>26.39175257731959</v>
      </c>
      <c r="AG13" s="389">
        <v>43.537414965986393</v>
      </c>
      <c r="AH13" s="390">
        <v>31</v>
      </c>
      <c r="AI13" s="390">
        <v>33</v>
      </c>
      <c r="AJ13" s="389">
        <v>15.571134020618556</v>
      </c>
      <c r="AK13" s="390">
        <v>53.848907984246331</v>
      </c>
      <c r="AL13" s="389">
        <v>49.661835748792271</v>
      </c>
      <c r="AM13" s="390">
        <v>10.311493018259936</v>
      </c>
      <c r="AN13" s="265">
        <v>27.447422680412373</v>
      </c>
      <c r="AO13" s="266">
        <v>36.845670053217226</v>
      </c>
      <c r="AP13" s="390">
        <v>16</v>
      </c>
      <c r="AQ13" s="389">
        <v>18.623718887262079</v>
      </c>
      <c r="AR13" s="344">
        <v>27</v>
      </c>
      <c r="AS13" s="266">
        <v>9.4189602446483178</v>
      </c>
      <c r="AT13" s="266">
        <v>32.44509516837482</v>
      </c>
      <c r="AU13" s="265">
        <v>31</v>
      </c>
      <c r="AV13" s="265">
        <v>59.192624418188302</v>
      </c>
      <c r="AW13" s="266">
        <v>37.465091299677766</v>
      </c>
      <c r="AX13" s="266">
        <v>15.226939970717424</v>
      </c>
      <c r="AY13" s="265">
        <v>14.705501618122979</v>
      </c>
      <c r="AZ13" s="266">
        <v>45.101030927835097</v>
      </c>
      <c r="BA13" s="341">
        <v>26</v>
      </c>
      <c r="BB13" s="266">
        <v>30.336749633967791</v>
      </c>
      <c r="BC13" s="474">
        <v>33.517525773195878</v>
      </c>
      <c r="BD13" s="266">
        <v>20.029282576866766</v>
      </c>
      <c r="BE13" s="265">
        <v>30</v>
      </c>
      <c r="BF13" s="266">
        <v>46.860007160759039</v>
      </c>
      <c r="BG13" s="265">
        <v>28.111273792093705</v>
      </c>
      <c r="BH13" s="265">
        <v>37.579663444325099</v>
      </c>
      <c r="BI13" s="266">
        <v>24.312114989733061</v>
      </c>
      <c r="BJ13" s="382">
        <v>25.863917525773196</v>
      </c>
      <c r="BK13" s="487">
        <v>9.3949158610812749</v>
      </c>
      <c r="BL13" s="266">
        <v>34.44123711340206</v>
      </c>
      <c r="BM13" s="274">
        <v>24.543689320388349</v>
      </c>
    </row>
    <row r="14" spans="1:65" s="1" customFormat="1" ht="15" customHeight="1" x14ac:dyDescent="0.3">
      <c r="A14" s="6" t="s">
        <v>103</v>
      </c>
      <c r="B14"/>
      <c r="C14" s="955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  <c r="T14" s="957"/>
      <c r="U14" s="957"/>
      <c r="V14" s="957"/>
      <c r="W14" s="957"/>
      <c r="X14" s="957"/>
      <c r="Y14" s="979"/>
      <c r="Z14" s="241" t="s">
        <v>103</v>
      </c>
      <c r="AA14" s="456"/>
      <c r="AB14" s="257"/>
      <c r="AC14" s="262"/>
      <c r="AD14" s="257"/>
      <c r="AE14" s="457"/>
      <c r="AF14" s="457"/>
      <c r="AG14" s="457"/>
      <c r="AH14" s="262"/>
      <c r="AI14" s="262"/>
      <c r="AJ14" s="257"/>
      <c r="AK14" s="262"/>
      <c r="AL14" s="257"/>
      <c r="AM14" s="262"/>
      <c r="AN14" s="262"/>
      <c r="AO14" s="257"/>
      <c r="AP14" s="262"/>
      <c r="AQ14" s="257"/>
      <c r="AR14" s="458"/>
      <c r="AS14" s="457"/>
      <c r="AT14" s="459"/>
      <c r="AU14" s="458"/>
      <c r="AV14" s="458"/>
      <c r="AW14" s="457"/>
      <c r="AX14" s="457"/>
      <c r="AY14" s="458"/>
      <c r="AZ14" s="459"/>
      <c r="BA14" s="457"/>
      <c r="BB14" s="257"/>
      <c r="BC14" s="458"/>
      <c r="BD14" s="458"/>
      <c r="BE14" s="458"/>
      <c r="BF14" s="458"/>
      <c r="BG14" s="458"/>
      <c r="BH14" s="344"/>
      <c r="BI14" s="457"/>
      <c r="BJ14" s="261"/>
      <c r="BK14" s="457"/>
      <c r="BL14" s="254"/>
      <c r="BM14" s="460"/>
    </row>
    <row r="15" spans="1:65" s="2" customFormat="1" ht="15" customHeight="1" x14ac:dyDescent="0.3">
      <c r="A15" s="19" t="s">
        <v>13</v>
      </c>
      <c r="B15"/>
      <c r="C15" s="955"/>
      <c r="D15" s="957"/>
      <c r="E15" s="957"/>
      <c r="F15" s="957"/>
      <c r="G15" s="957"/>
      <c r="H15" s="957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  <c r="T15" s="957"/>
      <c r="U15" s="957"/>
      <c r="V15" s="957"/>
      <c r="W15" s="957"/>
      <c r="X15" s="957"/>
      <c r="Y15" s="979"/>
      <c r="Z15" s="240" t="s">
        <v>13</v>
      </c>
      <c r="AA15" s="255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62"/>
      <c r="AO15" s="259"/>
      <c r="AP15" s="259"/>
      <c r="AQ15" s="259"/>
      <c r="AR15" s="339"/>
      <c r="AS15" s="257"/>
      <c r="AT15" s="458"/>
      <c r="AU15" s="443"/>
      <c r="AV15" s="339"/>
      <c r="AW15" s="257"/>
      <c r="AX15" s="259"/>
      <c r="AY15" s="442"/>
      <c r="AZ15" s="339"/>
      <c r="BA15" s="443"/>
      <c r="BB15" s="259"/>
      <c r="BC15" s="475"/>
      <c r="BD15" s="259"/>
      <c r="BE15" s="259"/>
      <c r="BF15" s="259"/>
      <c r="BG15" s="259"/>
      <c r="BH15" s="259"/>
      <c r="BI15" s="259"/>
      <c r="BJ15" s="259"/>
      <c r="BK15" s="475"/>
      <c r="BL15" s="259"/>
      <c r="BM15" s="273"/>
    </row>
    <row r="16" spans="1:65" s="66" customFormat="1" ht="30" customHeight="1" x14ac:dyDescent="0.3">
      <c r="A16" s="63" t="s">
        <v>14</v>
      </c>
      <c r="B16" s="64"/>
      <c r="C16" s="955"/>
      <c r="D16" s="957"/>
      <c r="E16" s="957"/>
      <c r="F16" s="957"/>
      <c r="G16" s="957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  <c r="T16" s="957"/>
      <c r="U16" s="957"/>
      <c r="V16" s="957"/>
      <c r="W16" s="957"/>
      <c r="X16" s="957"/>
      <c r="Y16" s="979"/>
      <c r="Z16" s="242" t="s">
        <v>14</v>
      </c>
      <c r="AA16" s="253">
        <v>31</v>
      </c>
      <c r="AB16" s="261">
        <v>54</v>
      </c>
      <c r="AC16" s="263">
        <v>25</v>
      </c>
      <c r="AD16" s="381">
        <v>53.825993555316863</v>
      </c>
      <c r="AE16" s="267">
        <v>42.612244897959187</v>
      </c>
      <c r="AF16" s="381">
        <v>28.701030927835053</v>
      </c>
      <c r="AG16" s="264">
        <v>47.346938775510203</v>
      </c>
      <c r="AH16" s="267">
        <v>31</v>
      </c>
      <c r="AI16" s="385">
        <v>31</v>
      </c>
      <c r="AJ16" s="264">
        <v>16.933608247422683</v>
      </c>
      <c r="AK16" s="385">
        <v>58.560687432867887</v>
      </c>
      <c r="AL16" s="386">
        <v>54.007246376811594</v>
      </c>
      <c r="AM16" s="385">
        <v>11.21374865735768</v>
      </c>
      <c r="AN16" s="385">
        <v>29.849072164948456</v>
      </c>
      <c r="AO16" s="264">
        <v>40.069666182873732</v>
      </c>
      <c r="AP16" s="267">
        <v>17</v>
      </c>
      <c r="AQ16" s="264">
        <v>20.253294289897511</v>
      </c>
      <c r="AR16" s="340">
        <v>26</v>
      </c>
      <c r="AS16" s="264">
        <v>20.486238532110093</v>
      </c>
      <c r="AT16" s="340">
        <v>35.284040995607612</v>
      </c>
      <c r="AU16" s="476">
        <v>29</v>
      </c>
      <c r="AV16" s="340">
        <v>50</v>
      </c>
      <c r="AW16" s="264">
        <v>43.743286788399601</v>
      </c>
      <c r="AX16" s="264">
        <v>16.559297218155198</v>
      </c>
      <c r="AY16" s="264">
        <v>15.992233009708738</v>
      </c>
      <c r="AZ16" s="340">
        <v>38.172371134020622</v>
      </c>
      <c r="BA16" s="444">
        <v>25</v>
      </c>
      <c r="BB16" s="386">
        <v>32.991215226939971</v>
      </c>
      <c r="BC16" s="386">
        <v>36.450309278350517</v>
      </c>
      <c r="BD16" s="264">
        <v>21.781844802342608</v>
      </c>
      <c r="BE16" s="267">
        <v>31</v>
      </c>
      <c r="BF16" s="264">
        <v>50.96025778732546</v>
      </c>
      <c r="BG16" s="267">
        <v>30.571010248901903</v>
      </c>
      <c r="BH16" s="267">
        <v>40.867883995703544</v>
      </c>
      <c r="BI16" s="264">
        <v>26.439425051334702</v>
      </c>
      <c r="BJ16" s="381">
        <v>28.127010309278351</v>
      </c>
      <c r="BK16" s="267">
        <v>10.216970998925886</v>
      </c>
      <c r="BL16" s="342">
        <v>19</v>
      </c>
      <c r="BM16" s="276">
        <v>26.691262135922329</v>
      </c>
    </row>
    <row r="17" spans="1:65" s="66" customFormat="1" ht="14.25" customHeight="1" x14ac:dyDescent="0.3">
      <c r="A17" s="63" t="s">
        <v>104</v>
      </c>
      <c r="B17" s="64"/>
      <c r="C17" s="955"/>
      <c r="D17" s="957"/>
      <c r="E17" s="957"/>
      <c r="F17" s="957"/>
      <c r="G17" s="957"/>
      <c r="H17" s="957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  <c r="T17" s="957"/>
      <c r="U17" s="957"/>
      <c r="V17" s="957"/>
      <c r="W17" s="957"/>
      <c r="X17" s="957"/>
      <c r="Y17" s="979"/>
      <c r="Z17" s="242" t="s">
        <v>104</v>
      </c>
      <c r="AA17" s="253"/>
      <c r="AB17" s="261"/>
      <c r="AC17" s="263"/>
      <c r="AD17" s="261"/>
      <c r="AE17" s="263"/>
      <c r="AF17" s="261"/>
      <c r="AG17" s="261"/>
      <c r="AH17" s="453"/>
      <c r="AI17" s="263"/>
      <c r="AJ17" s="261"/>
      <c r="AK17" s="263"/>
      <c r="AL17" s="261"/>
      <c r="AM17" s="263"/>
      <c r="AN17" s="263"/>
      <c r="AO17" s="261"/>
      <c r="AP17" s="263"/>
      <c r="AQ17" s="261"/>
      <c r="AR17" s="453"/>
      <c r="AS17" s="261"/>
      <c r="AT17" s="477"/>
      <c r="AU17" s="453"/>
      <c r="AV17" s="453"/>
      <c r="AW17" s="345"/>
      <c r="AX17" s="345"/>
      <c r="AY17" s="345"/>
      <c r="AZ17" s="453"/>
      <c r="BA17" s="462"/>
      <c r="BB17" s="261"/>
      <c r="BC17" s="261"/>
      <c r="BD17" s="261"/>
      <c r="BE17" s="453"/>
      <c r="BF17" s="345"/>
      <c r="BG17" s="453"/>
      <c r="BH17" s="453"/>
      <c r="BI17" s="261"/>
      <c r="BJ17" s="345"/>
      <c r="BK17" s="453"/>
      <c r="BL17" s="345"/>
      <c r="BM17" s="461"/>
    </row>
    <row r="18" spans="1:65" s="68" customFormat="1" ht="15" customHeight="1" x14ac:dyDescent="0.3">
      <c r="A18" s="67" t="s">
        <v>15</v>
      </c>
      <c r="B18" s="64"/>
      <c r="C18" s="955"/>
      <c r="D18" s="957"/>
      <c r="E18" s="957"/>
      <c r="F18" s="957"/>
      <c r="G18" s="957"/>
      <c r="H18" s="957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  <c r="T18" s="957"/>
      <c r="U18" s="957"/>
      <c r="V18" s="957"/>
      <c r="W18" s="957"/>
      <c r="X18" s="957"/>
      <c r="Y18" s="979"/>
      <c r="Z18" s="243" t="s">
        <v>15</v>
      </c>
      <c r="AA18" s="255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63"/>
      <c r="AO18" s="261"/>
      <c r="AP18" s="259"/>
      <c r="AQ18" s="259"/>
      <c r="AR18" s="339"/>
      <c r="AS18" s="261"/>
      <c r="AT18" s="350"/>
      <c r="AU18" s="443"/>
      <c r="AV18" s="339"/>
      <c r="AW18" s="261"/>
      <c r="AX18" s="259"/>
      <c r="AY18" s="442"/>
      <c r="AZ18" s="339"/>
      <c r="BA18" s="443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339"/>
      <c r="BM18" s="273"/>
    </row>
    <row r="19" spans="1:65" s="66" customFormat="1" ht="30" customHeight="1" x14ac:dyDescent="0.3">
      <c r="A19" s="63" t="s">
        <v>16</v>
      </c>
      <c r="B19" s="64"/>
      <c r="C19" s="955"/>
      <c r="D19" s="957"/>
      <c r="E19" s="957"/>
      <c r="F19" s="957"/>
      <c r="G19" s="957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  <c r="T19" s="957"/>
      <c r="U19" s="957"/>
      <c r="V19" s="957"/>
      <c r="W19" s="957"/>
      <c r="X19" s="957"/>
      <c r="Y19" s="979"/>
      <c r="Z19" s="242" t="s">
        <v>16</v>
      </c>
      <c r="AA19" s="253">
        <v>32</v>
      </c>
      <c r="AB19" s="261">
        <v>55</v>
      </c>
      <c r="AC19" s="263">
        <v>26</v>
      </c>
      <c r="AD19" s="264">
        <v>54.13533834586466</v>
      </c>
      <c r="AE19" s="267">
        <v>42.857142857142854</v>
      </c>
      <c r="AF19" s="264">
        <v>28.865979381443296</v>
      </c>
      <c r="AG19" s="381">
        <v>47.619047619047613</v>
      </c>
      <c r="AH19" s="267">
        <v>30</v>
      </c>
      <c r="AI19" s="267">
        <v>34</v>
      </c>
      <c r="AJ19" s="264">
        <v>17.030927835051546</v>
      </c>
      <c r="AK19" s="267">
        <v>58.89724310776942</v>
      </c>
      <c r="AL19" s="381">
        <v>54.317632850241544</v>
      </c>
      <c r="AM19" s="385">
        <v>11.278195488721805</v>
      </c>
      <c r="AN19" s="385">
        <v>30.020618556701027</v>
      </c>
      <c r="AO19" s="386">
        <v>40.299951620706338</v>
      </c>
      <c r="AP19" s="385">
        <v>15</v>
      </c>
      <c r="AQ19" s="386">
        <v>20.369692532942896</v>
      </c>
      <c r="AR19" s="340">
        <v>26</v>
      </c>
      <c r="AS19" s="386">
        <v>20.603975535168196</v>
      </c>
      <c r="AT19" s="340">
        <v>47.4868228404099</v>
      </c>
      <c r="AU19" s="476">
        <v>28</v>
      </c>
      <c r="AV19" s="340">
        <v>59.27318295739348</v>
      </c>
      <c r="AW19" s="264">
        <v>43.9774436090226</v>
      </c>
      <c r="AX19" s="264">
        <v>16.65446559297218</v>
      </c>
      <c r="AY19" s="264">
        <v>16.084142394822006</v>
      </c>
      <c r="AZ19" s="340">
        <v>24</v>
      </c>
      <c r="BA19" s="444">
        <v>24</v>
      </c>
      <c r="BB19" s="264">
        <v>33.180819912152266</v>
      </c>
      <c r="BC19" s="381">
        <v>36.659793814432987</v>
      </c>
      <c r="BD19" s="264">
        <v>21.907027818448022</v>
      </c>
      <c r="BE19" s="267">
        <v>32</v>
      </c>
      <c r="BF19" s="264">
        <v>51.253132832080198</v>
      </c>
      <c r="BG19" s="267">
        <v>30.746705710102486</v>
      </c>
      <c r="BH19" s="267">
        <v>41.102756892230573</v>
      </c>
      <c r="BI19" s="264">
        <v>26.591375770020534</v>
      </c>
      <c r="BJ19" s="381">
        <v>28.288659793814432</v>
      </c>
      <c r="BK19" s="267">
        <v>10.275689223057643</v>
      </c>
      <c r="BL19" s="342">
        <v>21</v>
      </c>
      <c r="BM19" s="276">
        <v>26.844660194174757</v>
      </c>
    </row>
    <row r="20" spans="1:65" s="66" customFormat="1" ht="15" customHeight="1" x14ac:dyDescent="0.3">
      <c r="A20" s="63" t="s">
        <v>105</v>
      </c>
      <c r="B20" s="64"/>
      <c r="C20" s="955"/>
      <c r="D20" s="957"/>
      <c r="E20" s="957"/>
      <c r="F20" s="957"/>
      <c r="G20" s="957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  <c r="T20" s="957"/>
      <c r="U20" s="957"/>
      <c r="V20" s="957"/>
      <c r="W20" s="957"/>
      <c r="X20" s="957"/>
      <c r="Y20" s="979"/>
      <c r="Z20" s="242" t="s">
        <v>105</v>
      </c>
      <c r="AA20" s="253"/>
      <c r="AB20" s="261"/>
      <c r="AC20" s="263"/>
      <c r="AD20" s="261"/>
      <c r="AE20" s="263"/>
      <c r="AF20" s="261"/>
      <c r="AG20" s="261"/>
      <c r="AH20" s="453"/>
      <c r="AI20" s="453"/>
      <c r="AJ20" s="453"/>
      <c r="AK20" s="453"/>
      <c r="AL20" s="261"/>
      <c r="AM20" s="263"/>
      <c r="AN20" s="263"/>
      <c r="AO20" s="261"/>
      <c r="AP20" s="263"/>
      <c r="AQ20" s="261"/>
      <c r="AR20" s="453"/>
      <c r="AS20" s="261"/>
      <c r="AT20" s="464"/>
      <c r="AU20" s="453"/>
      <c r="AV20" s="453"/>
      <c r="AW20" s="463"/>
      <c r="AX20" s="345"/>
      <c r="AY20" s="453"/>
      <c r="AZ20" s="464"/>
      <c r="BA20" s="345"/>
      <c r="BB20" s="261"/>
      <c r="BC20" s="261"/>
      <c r="BD20" s="261"/>
      <c r="BE20" s="453"/>
      <c r="BF20" s="261"/>
      <c r="BG20" s="453"/>
      <c r="BH20" s="453"/>
      <c r="BI20" s="345"/>
      <c r="BJ20" s="261"/>
      <c r="BK20" s="453"/>
      <c r="BL20" s="345"/>
      <c r="BM20" s="453"/>
    </row>
    <row r="21" spans="1:65" s="68" customFormat="1" ht="15" customHeight="1" x14ac:dyDescent="0.3">
      <c r="A21" s="67" t="s">
        <v>17</v>
      </c>
      <c r="B21" s="64"/>
      <c r="C21" s="955"/>
      <c r="D21" s="957"/>
      <c r="E21" s="957"/>
      <c r="F21" s="957"/>
      <c r="G21" s="957"/>
      <c r="H21" s="957"/>
      <c r="I21" s="957"/>
      <c r="J21" s="957"/>
      <c r="K21" s="957"/>
      <c r="L21" s="957"/>
      <c r="M21" s="957"/>
      <c r="N21" s="957"/>
      <c r="O21" s="957"/>
      <c r="P21" s="957"/>
      <c r="Q21" s="957"/>
      <c r="R21" s="957"/>
      <c r="S21" s="957"/>
      <c r="T21" s="957"/>
      <c r="U21" s="957"/>
      <c r="V21" s="957"/>
      <c r="W21" s="957"/>
      <c r="X21" s="957"/>
      <c r="Y21" s="979"/>
      <c r="Z21" s="243" t="s">
        <v>17</v>
      </c>
      <c r="AA21" s="255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61"/>
      <c r="AM21" s="263"/>
      <c r="AN21" s="263"/>
      <c r="AO21" s="259"/>
      <c r="AP21" s="259"/>
      <c r="AQ21" s="259"/>
      <c r="AR21" s="339"/>
      <c r="AS21" s="259"/>
      <c r="AT21" s="261"/>
      <c r="AU21" s="339"/>
      <c r="AV21" s="451"/>
      <c r="AW21" s="453"/>
      <c r="AX21" s="255"/>
      <c r="AY21" s="263"/>
      <c r="AZ21" s="259"/>
      <c r="BA21" s="33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339"/>
      <c r="BM21" s="273"/>
    </row>
    <row r="22" spans="1:65" s="68" customFormat="1" ht="30" customHeight="1" x14ac:dyDescent="0.3">
      <c r="A22" s="101" t="s">
        <v>18</v>
      </c>
      <c r="B22" s="64"/>
      <c r="C22" s="955"/>
      <c r="D22" s="957"/>
      <c r="E22" s="957"/>
      <c r="F22" s="957"/>
      <c r="G22" s="957"/>
      <c r="H22" s="957"/>
      <c r="I22" s="957"/>
      <c r="J22" s="957"/>
      <c r="K22" s="957"/>
      <c r="L22" s="957"/>
      <c r="M22" s="957"/>
      <c r="N22" s="957"/>
      <c r="O22" s="957"/>
      <c r="P22" s="957"/>
      <c r="Q22" s="957"/>
      <c r="R22" s="957"/>
      <c r="S22" s="957"/>
      <c r="T22" s="957"/>
      <c r="U22" s="957"/>
      <c r="V22" s="957"/>
      <c r="W22" s="957"/>
      <c r="X22" s="957"/>
      <c r="Y22" s="979"/>
      <c r="Z22" s="244" t="s">
        <v>18</v>
      </c>
      <c r="AA22" s="393">
        <v>21</v>
      </c>
      <c r="AB22" s="261">
        <v>36</v>
      </c>
      <c r="AC22" s="391">
        <v>24</v>
      </c>
      <c r="AD22" s="269">
        <v>35.883995703544578</v>
      </c>
      <c r="AE22" s="385">
        <v>28.408163265306126</v>
      </c>
      <c r="AF22" s="264">
        <v>19.134020618556701</v>
      </c>
      <c r="AG22" s="386">
        <v>31.564625850340139</v>
      </c>
      <c r="AH22" s="384">
        <v>32</v>
      </c>
      <c r="AI22" s="267">
        <v>33</v>
      </c>
      <c r="AJ22" s="264">
        <v>11.289072164948454</v>
      </c>
      <c r="AK22" s="267">
        <v>39.040458288578591</v>
      </c>
      <c r="AL22" s="381">
        <v>36.004830917874401</v>
      </c>
      <c r="AM22" s="385">
        <v>7.475832438238454</v>
      </c>
      <c r="AN22" s="385">
        <v>19.899381443298971</v>
      </c>
      <c r="AO22" s="264">
        <v>26.713110788582487</v>
      </c>
      <c r="AP22" s="267">
        <v>13</v>
      </c>
      <c r="AQ22" s="264">
        <v>13.502196193265007</v>
      </c>
      <c r="AR22" s="340">
        <v>28</v>
      </c>
      <c r="AS22" s="264">
        <v>13.657492354740061</v>
      </c>
      <c r="AT22" s="264">
        <v>26.522693997071698</v>
      </c>
      <c r="AU22" s="340">
        <v>26</v>
      </c>
      <c r="AV22" s="342">
        <v>29</v>
      </c>
      <c r="AW22" s="340">
        <v>21.162191192266398</v>
      </c>
      <c r="AX22" s="449">
        <v>11.039531478770131</v>
      </c>
      <c r="AY22" s="267">
        <v>10.661488673139157</v>
      </c>
      <c r="AZ22" s="264">
        <v>25.448247422680414</v>
      </c>
      <c r="BA22" s="342">
        <v>24</v>
      </c>
      <c r="BB22" s="386">
        <v>21.994143484626647</v>
      </c>
      <c r="BC22" s="386">
        <v>24.30020618556701</v>
      </c>
      <c r="BD22" s="264">
        <v>14.521229868228405</v>
      </c>
      <c r="BE22" s="267">
        <v>25</v>
      </c>
      <c r="BF22" s="264">
        <v>33.973505191550309</v>
      </c>
      <c r="BG22" s="267">
        <v>20.380673499267935</v>
      </c>
      <c r="BH22" s="267">
        <v>27.245255997135697</v>
      </c>
      <c r="BI22" s="264">
        <v>17.626283367556468</v>
      </c>
      <c r="BJ22" s="381">
        <v>18.751340206185567</v>
      </c>
      <c r="BK22" s="264">
        <v>6.8113139992839242</v>
      </c>
      <c r="BL22" s="342">
        <v>20</v>
      </c>
      <c r="BM22" s="276">
        <v>17.794174757281553</v>
      </c>
    </row>
    <row r="23" spans="1:65" s="68" customFormat="1" ht="15" customHeight="1" x14ac:dyDescent="0.3">
      <c r="A23" s="63" t="s">
        <v>106</v>
      </c>
      <c r="B23" s="64"/>
      <c r="C23" s="955"/>
      <c r="D23" s="957"/>
      <c r="E23" s="957"/>
      <c r="F23" s="957"/>
      <c r="G23" s="957"/>
      <c r="H23" s="957"/>
      <c r="I23" s="957"/>
      <c r="J23" s="957"/>
      <c r="K23" s="957"/>
      <c r="L23" s="957"/>
      <c r="M23" s="957"/>
      <c r="N23" s="957"/>
      <c r="O23" s="957"/>
      <c r="P23" s="957"/>
      <c r="Q23" s="957"/>
      <c r="R23" s="957"/>
      <c r="S23" s="957"/>
      <c r="T23" s="957"/>
      <c r="U23" s="957"/>
      <c r="V23" s="957"/>
      <c r="W23" s="957"/>
      <c r="X23" s="957"/>
      <c r="Y23" s="979"/>
      <c r="Z23" s="242" t="s">
        <v>106</v>
      </c>
      <c r="AA23" s="253"/>
      <c r="AB23" s="261"/>
      <c r="AC23" s="483"/>
      <c r="AD23" s="457"/>
      <c r="AE23" s="484"/>
      <c r="AF23" s="345"/>
      <c r="AG23" s="261"/>
      <c r="AH23" s="338"/>
      <c r="AI23" s="338"/>
      <c r="AJ23" s="345"/>
      <c r="AK23" s="263"/>
      <c r="AL23" s="261"/>
      <c r="AM23" s="263"/>
      <c r="AN23" s="263"/>
      <c r="AO23" s="261"/>
      <c r="AP23" s="338"/>
      <c r="AQ23" s="345"/>
      <c r="AR23" s="338"/>
      <c r="AS23" s="261"/>
      <c r="AT23" s="261"/>
      <c r="AU23" s="338"/>
      <c r="AV23" s="263"/>
      <c r="AW23" s="452"/>
      <c r="AX23" s="261"/>
      <c r="AY23" s="263"/>
      <c r="AZ23" s="261"/>
      <c r="BA23" s="261"/>
      <c r="BB23" s="261"/>
      <c r="BC23" s="261"/>
      <c r="BD23" s="261"/>
      <c r="BE23" s="338"/>
      <c r="BF23" s="261"/>
      <c r="BG23" s="263"/>
      <c r="BH23" s="263"/>
      <c r="BI23" s="261"/>
      <c r="BJ23" s="261"/>
      <c r="BK23" s="453"/>
      <c r="BL23" s="345"/>
      <c r="BM23" s="277"/>
    </row>
    <row r="24" spans="1:65" s="68" customFormat="1" ht="15" customHeight="1" x14ac:dyDescent="0.3">
      <c r="A24" s="67" t="s">
        <v>114</v>
      </c>
      <c r="B24" s="64"/>
      <c r="C24" s="951"/>
      <c r="D24" s="349"/>
      <c r="E24" s="481">
        <v>5</v>
      </c>
      <c r="F24" s="482">
        <v>8</v>
      </c>
      <c r="G24" s="481"/>
      <c r="H24" s="482">
        <v>86</v>
      </c>
      <c r="I24" s="481"/>
      <c r="J24" s="331"/>
      <c r="K24" s="331">
        <v>15</v>
      </c>
      <c r="L24" s="482">
        <v>7</v>
      </c>
      <c r="M24" s="331"/>
      <c r="N24" s="332"/>
      <c r="O24" s="332"/>
      <c r="P24" s="331"/>
      <c r="Q24" s="331"/>
      <c r="R24" s="331"/>
      <c r="S24" s="953"/>
      <c r="T24" s="482">
        <v>97</v>
      </c>
      <c r="U24" s="481">
        <v>6</v>
      </c>
      <c r="V24" s="331"/>
      <c r="W24" s="331">
        <v>4</v>
      </c>
      <c r="X24" s="953"/>
      <c r="Y24" s="331">
        <v>4</v>
      </c>
      <c r="Z24" s="243" t="s">
        <v>114</v>
      </c>
      <c r="AA24" s="253"/>
      <c r="AB24" s="259"/>
      <c r="AC24" s="156"/>
      <c r="AD24" s="475"/>
      <c r="AE24" s="259"/>
      <c r="AF24" s="259"/>
      <c r="AG24" s="259"/>
      <c r="AH24" s="156"/>
      <c r="AI24" s="156"/>
      <c r="AJ24" s="259"/>
      <c r="AK24" s="259"/>
      <c r="AL24" s="261"/>
      <c r="AM24" s="259"/>
      <c r="AN24" s="259"/>
      <c r="AO24" s="261"/>
      <c r="AP24" s="156"/>
      <c r="AQ24" s="345"/>
      <c r="AR24" s="156"/>
      <c r="AS24" s="261"/>
      <c r="AT24" s="261"/>
      <c r="AU24" s="156"/>
      <c r="AV24" s="259"/>
      <c r="AW24" s="261"/>
      <c r="AX24" s="261"/>
      <c r="AY24" s="259"/>
      <c r="AZ24" s="259"/>
      <c r="BA24" s="259"/>
      <c r="BB24" s="259"/>
      <c r="BC24" s="259"/>
      <c r="BD24" s="259"/>
      <c r="BE24" s="156"/>
      <c r="BF24" s="259"/>
      <c r="BG24" s="259"/>
      <c r="BH24" s="259"/>
      <c r="BI24" s="261"/>
      <c r="BJ24" s="259"/>
      <c r="BK24" s="259"/>
      <c r="BL24" s="339"/>
      <c r="BM24" s="273"/>
    </row>
    <row r="25" spans="1:65" s="68" customFormat="1" ht="30" customHeight="1" x14ac:dyDescent="0.3">
      <c r="A25" s="63" t="s">
        <v>19</v>
      </c>
      <c r="B25" s="64"/>
      <c r="C25" s="951"/>
      <c r="D25" s="349"/>
      <c r="E25" s="349"/>
      <c r="F25" s="348"/>
      <c r="G25" s="481">
        <v>14.9</v>
      </c>
      <c r="H25" s="348"/>
      <c r="I25" s="481">
        <v>49</v>
      </c>
      <c r="J25" s="481">
        <v>37</v>
      </c>
      <c r="K25" s="349"/>
      <c r="L25" s="348"/>
      <c r="M25" s="481">
        <v>46</v>
      </c>
      <c r="N25" s="482">
        <v>75</v>
      </c>
      <c r="O25" s="482">
        <v>95</v>
      </c>
      <c r="P25" s="331">
        <v>26</v>
      </c>
      <c r="Q25" s="481">
        <v>60</v>
      </c>
      <c r="R25" s="481">
        <v>92</v>
      </c>
      <c r="S25" s="953"/>
      <c r="T25" s="348"/>
      <c r="U25" s="349"/>
      <c r="V25" s="331">
        <v>13</v>
      </c>
      <c r="W25" s="331">
        <v>14</v>
      </c>
      <c r="X25" s="953"/>
      <c r="Y25" s="331">
        <v>17</v>
      </c>
      <c r="Z25" s="242" t="s">
        <v>19</v>
      </c>
      <c r="AA25" s="393">
        <v>40</v>
      </c>
      <c r="AB25" s="261">
        <v>68</v>
      </c>
      <c r="AC25" s="338"/>
      <c r="AD25" s="264">
        <v>67.437164339419979</v>
      </c>
      <c r="AE25" s="267">
        <v>53.387755102040821</v>
      </c>
      <c r="AF25" s="264">
        <v>35.958762886597938</v>
      </c>
      <c r="AG25" s="264">
        <v>59.319727891156468</v>
      </c>
      <c r="AH25" s="162"/>
      <c r="AI25" s="162"/>
      <c r="AJ25" s="264">
        <v>21.215670103092783</v>
      </c>
      <c r="AK25" s="267">
        <v>73.369137128535627</v>
      </c>
      <c r="AL25" s="264">
        <v>33.832125603864732</v>
      </c>
      <c r="AM25" s="385">
        <v>14.049409237379162</v>
      </c>
      <c r="AN25" s="385">
        <v>37.397113402061855</v>
      </c>
      <c r="AO25" s="386">
        <v>50.202225447508468</v>
      </c>
      <c r="AP25" s="162"/>
      <c r="AQ25" s="342">
        <v>25.374816983894583</v>
      </c>
      <c r="AR25" s="162"/>
      <c r="AS25" s="386">
        <v>12.833333333333332</v>
      </c>
      <c r="AT25" s="264">
        <v>29.206442166910701</v>
      </c>
      <c r="AU25" s="162"/>
      <c r="AV25" s="384">
        <v>73.837450769781597</v>
      </c>
      <c r="AW25" s="264">
        <v>51.046186895810962</v>
      </c>
      <c r="AX25" s="386">
        <v>20.746705710102489</v>
      </c>
      <c r="AY25" s="385">
        <v>20.036245954692554</v>
      </c>
      <c r="AZ25" s="386">
        <v>47.82515463917526</v>
      </c>
      <c r="BA25" s="386">
        <v>54.324382384532761</v>
      </c>
      <c r="BB25" s="264">
        <v>41.333821376281115</v>
      </c>
      <c r="BC25" s="264">
        <v>45.667628865979381</v>
      </c>
      <c r="BD25" s="264">
        <v>27.289897510980968</v>
      </c>
      <c r="BE25" s="162"/>
      <c r="BF25" s="264">
        <v>63.846759756534198</v>
      </c>
      <c r="BG25" s="267">
        <v>38.301610541727676</v>
      </c>
      <c r="BH25" s="267">
        <v>51.20229144289295</v>
      </c>
      <c r="BI25" s="264">
        <v>33.125256673511295</v>
      </c>
      <c r="BJ25" s="381">
        <v>35.239587628865984</v>
      </c>
      <c r="BK25" s="267">
        <v>12.800572860723237</v>
      </c>
      <c r="BL25" s="342">
        <v>22</v>
      </c>
      <c r="BM25" s="276">
        <v>33.440776699029122</v>
      </c>
    </row>
    <row r="26" spans="1:65" s="68" customFormat="1" ht="15" customHeight="1" x14ac:dyDescent="0.3">
      <c r="A26" s="63" t="s">
        <v>113</v>
      </c>
      <c r="B26" s="64"/>
      <c r="C26" s="952"/>
      <c r="D26" s="349"/>
      <c r="E26" s="349"/>
      <c r="F26" s="348"/>
      <c r="G26" s="331"/>
      <c r="H26" s="348"/>
      <c r="I26" s="349"/>
      <c r="J26" s="331"/>
      <c r="K26" s="349"/>
      <c r="L26" s="348"/>
      <c r="M26" s="331"/>
      <c r="N26" s="348"/>
      <c r="O26" s="348"/>
      <c r="P26" s="331"/>
      <c r="Q26" s="331"/>
      <c r="R26" s="466"/>
      <c r="S26" s="954"/>
      <c r="T26" s="348"/>
      <c r="U26" s="349"/>
      <c r="V26" s="331"/>
      <c r="W26" s="331"/>
      <c r="X26" s="954"/>
      <c r="Y26" s="331"/>
      <c r="Z26" s="242" t="s">
        <v>113</v>
      </c>
      <c r="AA26" s="253"/>
      <c r="AB26" s="261"/>
      <c r="AC26" s="338"/>
      <c r="AD26" s="345"/>
      <c r="AE26" s="263"/>
      <c r="AF26" s="345"/>
      <c r="AG26" s="261"/>
      <c r="AH26" s="338"/>
      <c r="AI26" s="338"/>
      <c r="AJ26" s="345"/>
      <c r="AK26" s="263"/>
      <c r="AL26" s="165"/>
      <c r="AM26" s="263"/>
      <c r="AN26" s="263"/>
      <c r="AO26" s="261"/>
      <c r="AP26" s="338"/>
      <c r="AQ26" s="345" t="s">
        <v>250</v>
      </c>
      <c r="AR26" s="338"/>
      <c r="AS26" s="163"/>
      <c r="AT26" s="261"/>
      <c r="AU26" s="338"/>
      <c r="AV26" s="263"/>
      <c r="AW26" s="261"/>
      <c r="AX26" s="261"/>
      <c r="AY26" s="263"/>
      <c r="AZ26" s="261"/>
      <c r="BA26" s="261"/>
      <c r="BB26" s="261"/>
      <c r="BC26" s="261"/>
      <c r="BD26" s="261"/>
      <c r="BE26" s="338"/>
      <c r="BF26" s="261"/>
      <c r="BG26" s="453"/>
      <c r="BH26" s="453"/>
      <c r="BI26" s="345"/>
      <c r="BJ26" s="261"/>
      <c r="BK26" s="263"/>
      <c r="BL26" s="261"/>
      <c r="BM26" s="277"/>
    </row>
    <row r="27" spans="1:65" s="68" customFormat="1" ht="15" customHeight="1" x14ac:dyDescent="0.3">
      <c r="A27" s="67" t="s">
        <v>115</v>
      </c>
      <c r="B27" s="64"/>
      <c r="C27" s="330"/>
      <c r="D27" s="331">
        <v>1</v>
      </c>
      <c r="E27" s="331">
        <v>1</v>
      </c>
      <c r="F27" s="331">
        <v>3</v>
      </c>
      <c r="G27" s="259"/>
      <c r="H27" s="331">
        <v>4</v>
      </c>
      <c r="I27" s="156"/>
      <c r="J27" s="259"/>
      <c r="K27" s="331">
        <v>1</v>
      </c>
      <c r="L27" s="332">
        <v>4</v>
      </c>
      <c r="M27" s="259"/>
      <c r="N27" s="332">
        <v>8</v>
      </c>
      <c r="O27" s="332">
        <v>8</v>
      </c>
      <c r="P27" s="331"/>
      <c r="Q27" s="259"/>
      <c r="R27" s="331"/>
      <c r="S27" s="331"/>
      <c r="T27" s="332">
        <v>10</v>
      </c>
      <c r="U27" s="349"/>
      <c r="V27" s="331"/>
      <c r="W27" s="331">
        <v>5</v>
      </c>
      <c r="X27" s="331">
        <v>3</v>
      </c>
      <c r="Y27" s="331">
        <v>12</v>
      </c>
      <c r="Z27" s="243" t="s">
        <v>115</v>
      </c>
      <c r="AA27" s="253"/>
      <c r="AB27" s="259"/>
      <c r="AC27" s="156"/>
      <c r="AD27" s="259"/>
      <c r="AE27" s="259"/>
      <c r="AF27" s="259"/>
      <c r="AG27" s="259"/>
      <c r="AH27" s="156"/>
      <c r="AI27" s="156"/>
      <c r="AJ27" s="259"/>
      <c r="AK27" s="259"/>
      <c r="AL27" s="166"/>
      <c r="AM27" s="263"/>
      <c r="AN27" s="259"/>
      <c r="AO27" s="261"/>
      <c r="AP27" s="156"/>
      <c r="AQ27" s="345"/>
      <c r="AR27" s="156"/>
      <c r="AS27" s="164"/>
      <c r="AT27" s="261"/>
      <c r="AU27" s="156"/>
      <c r="AV27" s="259"/>
      <c r="AW27" s="261"/>
      <c r="AX27" s="261"/>
      <c r="AY27" s="263"/>
      <c r="AZ27" s="261"/>
      <c r="BA27" s="259"/>
      <c r="BB27" s="259"/>
      <c r="BC27" s="261"/>
      <c r="BD27" s="259"/>
      <c r="BE27" s="156"/>
      <c r="BF27" s="259"/>
      <c r="BG27" s="259"/>
      <c r="BH27" s="263"/>
      <c r="BI27" s="259"/>
      <c r="BJ27" s="261"/>
      <c r="BK27" s="259"/>
      <c r="BL27" s="261"/>
      <c r="BM27" s="273"/>
    </row>
    <row r="28" spans="1:65" s="68" customFormat="1" ht="30" customHeight="1" x14ac:dyDescent="0.3">
      <c r="A28" s="63" t="s">
        <v>116</v>
      </c>
      <c r="B28" s="64"/>
      <c r="C28" s="330">
        <v>41</v>
      </c>
      <c r="D28" s="349"/>
      <c r="E28" s="349"/>
      <c r="F28" s="348"/>
      <c r="G28" s="331">
        <v>21.2</v>
      </c>
      <c r="H28" s="348"/>
      <c r="I28" s="349"/>
      <c r="J28" s="331">
        <v>42</v>
      </c>
      <c r="K28" s="349"/>
      <c r="L28" s="348"/>
      <c r="M28" s="481">
        <v>49</v>
      </c>
      <c r="N28" s="348"/>
      <c r="O28" s="348"/>
      <c r="P28" s="331">
        <v>18</v>
      </c>
      <c r="Q28" s="481">
        <v>40</v>
      </c>
      <c r="R28" s="331">
        <v>42</v>
      </c>
      <c r="S28" s="331">
        <v>42</v>
      </c>
      <c r="T28" s="348"/>
      <c r="U28" s="349"/>
      <c r="V28" s="481">
        <v>21</v>
      </c>
      <c r="W28" s="331">
        <v>19</v>
      </c>
      <c r="X28" s="331">
        <v>12</v>
      </c>
      <c r="Y28" s="331">
        <v>6</v>
      </c>
      <c r="Z28" s="242" t="s">
        <v>116</v>
      </c>
      <c r="AA28" s="253">
        <v>18</v>
      </c>
      <c r="AB28" s="261">
        <v>60</v>
      </c>
      <c r="AC28" s="338"/>
      <c r="AD28" s="264">
        <v>59.703544575725019</v>
      </c>
      <c r="AE28" s="267">
        <v>47.265306122448976</v>
      </c>
      <c r="AF28" s="264">
        <v>15.917525773195877</v>
      </c>
      <c r="AG28" s="264">
        <v>52.517006802721085</v>
      </c>
      <c r="AH28" s="162"/>
      <c r="AI28" s="162"/>
      <c r="AJ28" s="264">
        <v>9.391340206185566</v>
      </c>
      <c r="AK28" s="267">
        <v>64.955245255997127</v>
      </c>
      <c r="AL28" s="184"/>
      <c r="AM28" s="385">
        <v>12.438238453276046</v>
      </c>
      <c r="AN28" s="385">
        <v>16.554226804123712</v>
      </c>
      <c r="AO28" s="264">
        <v>22.222544750846637</v>
      </c>
      <c r="AP28" s="162"/>
      <c r="AQ28" s="342">
        <v>22.464860907759881</v>
      </c>
      <c r="AR28" s="162"/>
      <c r="AS28" s="185"/>
      <c r="AT28" s="264">
        <v>39.136896046852122</v>
      </c>
      <c r="AU28" s="162"/>
      <c r="AV28" s="267">
        <v>65.369853204439664</v>
      </c>
      <c r="AW28" s="264">
        <v>45.192266380236305</v>
      </c>
      <c r="AX28" s="386">
        <v>18.367496339677892</v>
      </c>
      <c r="AY28" s="385">
        <v>17.738511326860841</v>
      </c>
      <c r="AZ28" s="386">
        <v>21.170309278350516</v>
      </c>
      <c r="BA28" s="386">
        <v>48.094522019334043</v>
      </c>
      <c r="BB28" s="264">
        <v>36.59370424597364</v>
      </c>
      <c r="BC28" s="264">
        <v>20.215257731958761</v>
      </c>
      <c r="BD28" s="386">
        <v>24.160322108345532</v>
      </c>
      <c r="BE28" s="162"/>
      <c r="BF28" s="386">
        <v>56.524883637665589</v>
      </c>
      <c r="BG28" s="385">
        <v>33.909224011713029</v>
      </c>
      <c r="BH28" s="267">
        <v>45.330469029717143</v>
      </c>
      <c r="BI28" s="264">
        <v>29.326488706365506</v>
      </c>
      <c r="BJ28" s="381">
        <v>15.599175257731959</v>
      </c>
      <c r="BK28" s="385">
        <v>11.332617257429286</v>
      </c>
      <c r="BL28" s="386">
        <v>34</v>
      </c>
      <c r="BM28" s="276">
        <v>29.605825242718446</v>
      </c>
    </row>
    <row r="29" spans="1:65" s="68" customFormat="1" ht="15" customHeight="1" x14ac:dyDescent="0.3">
      <c r="A29" s="63" t="s">
        <v>117</v>
      </c>
      <c r="B29" s="64"/>
      <c r="C29" s="1048"/>
      <c r="D29" s="956"/>
      <c r="E29" s="956"/>
      <c r="F29" s="930"/>
      <c r="G29" s="331"/>
      <c r="H29" s="1049"/>
      <c r="I29" s="349"/>
      <c r="J29" s="331"/>
      <c r="K29" s="962"/>
      <c r="L29" s="930"/>
      <c r="M29" s="331"/>
      <c r="N29" s="962"/>
      <c r="O29" s="956"/>
      <c r="P29" s="930"/>
      <c r="Q29" s="331"/>
      <c r="R29" s="962"/>
      <c r="S29" s="956"/>
      <c r="T29" s="956"/>
      <c r="U29" s="349"/>
      <c r="V29" s="1049"/>
      <c r="W29" s="331"/>
      <c r="X29" s="331"/>
      <c r="Y29" s="1050"/>
      <c r="Z29" s="242" t="s">
        <v>117</v>
      </c>
      <c r="AA29" s="165"/>
      <c r="AB29" s="345"/>
      <c r="AC29" s="338"/>
      <c r="AD29" s="345"/>
      <c r="AE29" s="453"/>
      <c r="AF29" s="163"/>
      <c r="AG29" s="345"/>
      <c r="AH29" s="338"/>
      <c r="AI29" s="338"/>
      <c r="AJ29" s="168"/>
      <c r="AK29" s="453"/>
      <c r="AL29" s="166"/>
      <c r="AM29" s="453"/>
      <c r="AN29" s="174"/>
      <c r="AO29" s="177"/>
      <c r="AP29" s="338"/>
      <c r="AQ29" s="345"/>
      <c r="AR29" s="338"/>
      <c r="AS29" s="164"/>
      <c r="AT29" s="261"/>
      <c r="AU29" s="338"/>
      <c r="AV29" s="453"/>
      <c r="AW29" s="261"/>
      <c r="AX29" s="345"/>
      <c r="AY29" s="453"/>
      <c r="AZ29" s="168"/>
      <c r="BA29" s="345"/>
      <c r="BB29" s="453"/>
      <c r="BC29" s="163"/>
      <c r="BD29" s="261"/>
      <c r="BE29" s="338"/>
      <c r="BF29" s="261"/>
      <c r="BG29" s="263"/>
      <c r="BH29" s="263"/>
      <c r="BI29" s="263"/>
      <c r="BJ29" s="165"/>
      <c r="BK29" s="263"/>
      <c r="BL29" s="163"/>
      <c r="BM29" s="277"/>
    </row>
    <row r="30" spans="1:65" s="68" customFormat="1" ht="15" customHeight="1" x14ac:dyDescent="0.3">
      <c r="A30" s="67" t="s">
        <v>118</v>
      </c>
      <c r="B30" s="64"/>
      <c r="C30" s="955"/>
      <c r="D30" s="957"/>
      <c r="E30" s="957"/>
      <c r="F30" s="931"/>
      <c r="G30" s="259"/>
      <c r="H30" s="953"/>
      <c r="I30" s="156"/>
      <c r="J30" s="331"/>
      <c r="K30" s="963"/>
      <c r="L30" s="931"/>
      <c r="M30" s="259"/>
      <c r="N30" s="963"/>
      <c r="O30" s="957"/>
      <c r="P30" s="931"/>
      <c r="Q30" s="259"/>
      <c r="R30" s="963"/>
      <c r="S30" s="957"/>
      <c r="T30" s="957"/>
      <c r="U30" s="331">
        <v>9</v>
      </c>
      <c r="V30" s="953"/>
      <c r="W30" s="331">
        <v>6</v>
      </c>
      <c r="X30" s="259"/>
      <c r="Y30" s="980"/>
      <c r="Z30" s="243" t="s">
        <v>118</v>
      </c>
      <c r="AA30" s="166"/>
      <c r="AB30" s="261"/>
      <c r="AC30" s="156"/>
      <c r="AD30" s="261"/>
      <c r="AE30" s="263"/>
      <c r="AF30" s="164"/>
      <c r="AG30" s="261"/>
      <c r="AH30" s="156"/>
      <c r="AI30" s="156"/>
      <c r="AJ30" s="169"/>
      <c r="AK30" s="259"/>
      <c r="AL30" s="166"/>
      <c r="AM30" s="263"/>
      <c r="AN30" s="175"/>
      <c r="AO30" s="178"/>
      <c r="AP30" s="156"/>
      <c r="AQ30" s="345"/>
      <c r="AR30" s="156"/>
      <c r="AS30" s="164"/>
      <c r="AT30" s="261"/>
      <c r="AU30" s="156"/>
      <c r="AV30" s="263"/>
      <c r="AW30" s="261"/>
      <c r="AX30" s="259"/>
      <c r="AY30" s="259"/>
      <c r="AZ30" s="169"/>
      <c r="BA30" s="261"/>
      <c r="BB30" s="259"/>
      <c r="BC30" s="164"/>
      <c r="BD30" s="259"/>
      <c r="BE30" s="156"/>
      <c r="BF30" s="261"/>
      <c r="BG30" s="259"/>
      <c r="BH30" s="263"/>
      <c r="BI30" s="263"/>
      <c r="BJ30" s="166"/>
      <c r="BK30" s="263"/>
      <c r="BL30" s="164"/>
      <c r="BM30" s="277"/>
    </row>
    <row r="31" spans="1:65" s="68" customFormat="1" ht="30" customHeight="1" x14ac:dyDescent="0.3">
      <c r="A31" s="63" t="s">
        <v>119</v>
      </c>
      <c r="B31" s="64"/>
      <c r="C31" s="955"/>
      <c r="D31" s="957"/>
      <c r="E31" s="957"/>
      <c r="F31" s="931"/>
      <c r="G31" s="331">
        <v>19.2</v>
      </c>
      <c r="H31" s="953"/>
      <c r="I31" s="349"/>
      <c r="J31" s="481">
        <v>124</v>
      </c>
      <c r="K31" s="963"/>
      <c r="L31" s="931"/>
      <c r="M31" s="481">
        <v>44</v>
      </c>
      <c r="N31" s="963"/>
      <c r="O31" s="957"/>
      <c r="P31" s="931"/>
      <c r="Q31" s="481">
        <v>36</v>
      </c>
      <c r="R31" s="963"/>
      <c r="S31" s="957"/>
      <c r="T31" s="957"/>
      <c r="U31" s="957"/>
      <c r="V31" s="931"/>
      <c r="W31" s="331">
        <v>5</v>
      </c>
      <c r="X31" s="331">
        <v>18</v>
      </c>
      <c r="Y31" s="980"/>
      <c r="Z31" s="242" t="s">
        <v>119</v>
      </c>
      <c r="AA31" s="166"/>
      <c r="AB31" s="261">
        <v>28</v>
      </c>
      <c r="AC31" s="338"/>
      <c r="AD31" s="264">
        <v>27.06766917293233</v>
      </c>
      <c r="AE31" s="267">
        <v>21.428571428571427</v>
      </c>
      <c r="AF31" s="186"/>
      <c r="AG31" s="264">
        <v>23.809523809523807</v>
      </c>
      <c r="AH31" s="162"/>
      <c r="AI31" s="162"/>
      <c r="AJ31" s="187"/>
      <c r="AK31" s="267">
        <v>29.44862155388471</v>
      </c>
      <c r="AL31" s="184"/>
      <c r="AM31" s="267">
        <v>5.6390977443609023</v>
      </c>
      <c r="AN31" s="188"/>
      <c r="AO31" s="189"/>
      <c r="AP31" s="162"/>
      <c r="AQ31" s="342">
        <v>20.369692532942896</v>
      </c>
      <c r="AR31" s="162"/>
      <c r="AS31" s="185"/>
      <c r="AT31" s="386">
        <v>35.48682284040995</v>
      </c>
      <c r="AU31" s="162"/>
      <c r="AV31" s="385">
        <v>29.63659147869674</v>
      </c>
      <c r="AW31" s="386">
        <v>20.488721804511275</v>
      </c>
      <c r="AX31" s="386">
        <v>16.65446559297218</v>
      </c>
      <c r="AY31" s="385">
        <v>16.084142394822006</v>
      </c>
      <c r="AZ31" s="187"/>
      <c r="BA31" s="386">
        <v>32</v>
      </c>
      <c r="BB31" s="385">
        <v>33.180819912152266</v>
      </c>
      <c r="BC31" s="185"/>
      <c r="BD31" s="386">
        <v>21.907027818448022</v>
      </c>
      <c r="BE31" s="162"/>
      <c r="BF31" s="381">
        <v>25.626566416040099</v>
      </c>
      <c r="BG31" s="385">
        <v>30.746705710102486</v>
      </c>
      <c r="BH31" s="385">
        <v>20.551378446115287</v>
      </c>
      <c r="BI31" s="385">
        <v>13.295687885010267</v>
      </c>
      <c r="BJ31" s="184"/>
      <c r="BK31" s="385">
        <v>5.1378446115288217</v>
      </c>
      <c r="BL31" s="186"/>
      <c r="BM31" s="387">
        <v>26.844660194174757</v>
      </c>
    </row>
    <row r="32" spans="1:65" s="68" customFormat="1" ht="15" customHeight="1" x14ac:dyDescent="0.3">
      <c r="A32" s="63" t="s">
        <v>120</v>
      </c>
      <c r="B32" s="64"/>
      <c r="C32" s="955"/>
      <c r="D32" s="957"/>
      <c r="E32" s="957"/>
      <c r="F32" s="931"/>
      <c r="G32" s="466"/>
      <c r="H32" s="953"/>
      <c r="I32" s="349"/>
      <c r="J32" s="466"/>
      <c r="K32" s="963"/>
      <c r="L32" s="931"/>
      <c r="M32" s="466"/>
      <c r="N32" s="963"/>
      <c r="O32" s="957"/>
      <c r="P32" s="931"/>
      <c r="Q32" s="466"/>
      <c r="R32" s="963"/>
      <c r="S32" s="957"/>
      <c r="T32" s="957"/>
      <c r="U32" s="957"/>
      <c r="V32" s="957"/>
      <c r="W32" s="931"/>
      <c r="X32" s="331"/>
      <c r="Y32" s="980"/>
      <c r="Z32" s="242" t="s">
        <v>120</v>
      </c>
      <c r="AA32" s="166"/>
      <c r="AB32" s="177"/>
      <c r="AC32" s="347"/>
      <c r="AD32" s="169"/>
      <c r="AE32" s="166"/>
      <c r="AF32" s="166"/>
      <c r="AG32" s="172"/>
      <c r="AH32" s="338"/>
      <c r="AI32" s="338"/>
      <c r="AJ32" s="169"/>
      <c r="AK32" s="181"/>
      <c r="AL32" s="166"/>
      <c r="AM32" s="181"/>
      <c r="AN32" s="175"/>
      <c r="AO32" s="178"/>
      <c r="AP32" s="338"/>
      <c r="AQ32" s="345"/>
      <c r="AR32" s="338"/>
      <c r="AS32" s="164"/>
      <c r="AT32" s="345"/>
      <c r="AU32" s="338"/>
      <c r="AV32" s="168"/>
      <c r="AW32" s="180"/>
      <c r="AX32" s="345"/>
      <c r="AY32" s="453"/>
      <c r="AZ32" s="169"/>
      <c r="BA32" s="177"/>
      <c r="BB32" s="453"/>
      <c r="BC32" s="164"/>
      <c r="BD32" s="261"/>
      <c r="BE32" s="338"/>
      <c r="BF32" s="163"/>
      <c r="BG32" s="263"/>
      <c r="BH32" s="168"/>
      <c r="BI32" s="174"/>
      <c r="BJ32" s="166"/>
      <c r="BK32" s="171"/>
      <c r="BL32" s="172"/>
      <c r="BM32" s="277"/>
    </row>
    <row r="33" spans="1:68" s="68" customFormat="1" ht="15" customHeight="1" x14ac:dyDescent="0.3">
      <c r="A33" s="67" t="s">
        <v>121</v>
      </c>
      <c r="B33" s="64"/>
      <c r="C33" s="955"/>
      <c r="D33" s="957"/>
      <c r="E33" s="957"/>
      <c r="F33" s="931"/>
      <c r="G33" s="331"/>
      <c r="H33" s="953"/>
      <c r="I33" s="350"/>
      <c r="J33" s="331"/>
      <c r="K33" s="963"/>
      <c r="L33" s="931"/>
      <c r="M33" s="350"/>
      <c r="N33" s="963"/>
      <c r="O33" s="957"/>
      <c r="P33" s="931"/>
      <c r="Q33" s="350"/>
      <c r="R33" s="963"/>
      <c r="S33" s="957"/>
      <c r="T33" s="957"/>
      <c r="U33" s="957"/>
      <c r="V33" s="957"/>
      <c r="W33" s="931"/>
      <c r="X33" s="530">
        <v>27</v>
      </c>
      <c r="Y33" s="980"/>
      <c r="Z33" s="243" t="s">
        <v>121</v>
      </c>
      <c r="AA33" s="166"/>
      <c r="AB33" s="178"/>
      <c r="AC33" s="263">
        <v>9</v>
      </c>
      <c r="AD33" s="169"/>
      <c r="AE33" s="166"/>
      <c r="AF33" s="166"/>
      <c r="AG33" s="172"/>
      <c r="AH33" s="263">
        <v>10</v>
      </c>
      <c r="AI33" s="263">
        <v>10</v>
      </c>
      <c r="AJ33" s="169"/>
      <c r="AK33" s="182"/>
      <c r="AL33" s="166"/>
      <c r="AM33" s="182"/>
      <c r="AN33" s="175"/>
      <c r="AO33" s="178"/>
      <c r="AP33" s="263">
        <v>10</v>
      </c>
      <c r="AQ33" s="345"/>
      <c r="AR33" s="263">
        <v>10</v>
      </c>
      <c r="AS33" s="164"/>
      <c r="AT33" s="261"/>
      <c r="AU33" s="263">
        <v>10</v>
      </c>
      <c r="AV33" s="169"/>
      <c r="AW33" s="172"/>
      <c r="AX33" s="270"/>
      <c r="AY33" s="271"/>
      <c r="AZ33" s="169"/>
      <c r="BA33" s="178"/>
      <c r="BB33" s="271"/>
      <c r="BC33" s="164"/>
      <c r="BD33" s="270"/>
      <c r="BE33" s="263">
        <v>8</v>
      </c>
      <c r="BF33" s="164"/>
      <c r="BG33" s="271"/>
      <c r="BH33" s="169"/>
      <c r="BI33" s="175"/>
      <c r="BJ33" s="166"/>
      <c r="BK33" s="171"/>
      <c r="BL33" s="172"/>
      <c r="BM33" s="278"/>
    </row>
    <row r="34" spans="1:68" s="68" customFormat="1" ht="30" customHeight="1" thickBot="1" x14ac:dyDescent="0.35">
      <c r="A34" s="63" t="s">
        <v>122</v>
      </c>
      <c r="B34" s="64"/>
      <c r="C34" s="958"/>
      <c r="D34" s="959"/>
      <c r="E34" s="959"/>
      <c r="F34" s="960"/>
      <c r="G34" s="333">
        <v>19.7</v>
      </c>
      <c r="H34" s="961"/>
      <c r="I34" s="351">
        <v>44</v>
      </c>
      <c r="J34" s="334">
        <v>35</v>
      </c>
      <c r="K34" s="964"/>
      <c r="L34" s="960"/>
      <c r="M34" s="351">
        <v>82</v>
      </c>
      <c r="N34" s="964"/>
      <c r="O34" s="959"/>
      <c r="P34" s="960"/>
      <c r="Q34" s="351">
        <v>85</v>
      </c>
      <c r="R34" s="964"/>
      <c r="S34" s="959"/>
      <c r="T34" s="959"/>
      <c r="U34" s="959"/>
      <c r="V34" s="959"/>
      <c r="W34" s="960"/>
      <c r="X34" s="333">
        <v>4</v>
      </c>
      <c r="Y34" s="1051"/>
      <c r="Z34" s="242" t="s">
        <v>122</v>
      </c>
      <c r="AA34" s="167"/>
      <c r="AB34" s="179"/>
      <c r="AC34" s="69"/>
      <c r="AD34" s="170"/>
      <c r="AE34" s="167"/>
      <c r="AF34" s="167"/>
      <c r="AG34" s="173"/>
      <c r="AH34" s="69"/>
      <c r="AI34" s="69"/>
      <c r="AJ34" s="170"/>
      <c r="AK34" s="183"/>
      <c r="AL34" s="167"/>
      <c r="AM34" s="183"/>
      <c r="AN34" s="176"/>
      <c r="AO34" s="179"/>
      <c r="AP34" s="69"/>
      <c r="AQ34" s="346">
        <v>7.1002928257686682</v>
      </c>
      <c r="AR34" s="343"/>
      <c r="AS34" s="190"/>
      <c r="AT34" s="269">
        <v>12.369692532942899</v>
      </c>
      <c r="AU34" s="343"/>
      <c r="AV34" s="191"/>
      <c r="AW34" s="192"/>
      <c r="AX34" s="269">
        <v>5.805270863836018</v>
      </c>
      <c r="AY34" s="272">
        <v>5.6064724919093853</v>
      </c>
      <c r="AZ34" s="191"/>
      <c r="BA34" s="193"/>
      <c r="BB34" s="272">
        <v>11.565885797950219</v>
      </c>
      <c r="BC34" s="190"/>
      <c r="BD34" s="269">
        <v>7.6361639824304541</v>
      </c>
      <c r="BE34" s="343"/>
      <c r="BF34" s="190"/>
      <c r="BG34" s="272">
        <v>10.717423133235725</v>
      </c>
      <c r="BH34" s="191"/>
      <c r="BI34" s="194"/>
      <c r="BJ34" s="195"/>
      <c r="BK34" s="196"/>
      <c r="BL34" s="192"/>
      <c r="BM34" s="279">
        <v>9.3572815533980584</v>
      </c>
    </row>
    <row r="35" spans="1:68" s="2" customFormat="1" ht="21.75" customHeight="1" x14ac:dyDescent="0.3">
      <c r="A35" s="58" t="s">
        <v>110</v>
      </c>
      <c r="B35"/>
      <c r="C35" s="86">
        <v>0</v>
      </c>
      <c r="D35" s="91">
        <v>0</v>
      </c>
      <c r="E35" s="91">
        <v>0</v>
      </c>
      <c r="F35" s="91">
        <v>0</v>
      </c>
      <c r="G35" s="70">
        <v>1</v>
      </c>
      <c r="H35" s="91">
        <v>0</v>
      </c>
      <c r="I35" s="70">
        <v>1</v>
      </c>
      <c r="J35" s="91">
        <v>1</v>
      </c>
      <c r="K35" s="70">
        <v>0</v>
      </c>
      <c r="L35" s="70">
        <v>0</v>
      </c>
      <c r="M35" s="70">
        <v>1</v>
      </c>
      <c r="N35" s="70">
        <v>0</v>
      </c>
      <c r="O35" s="70">
        <v>0</v>
      </c>
      <c r="P35" s="70">
        <v>0</v>
      </c>
      <c r="Q35" s="70">
        <v>1</v>
      </c>
      <c r="R35" s="70">
        <v>1</v>
      </c>
      <c r="S35" s="70">
        <v>0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0</v>
      </c>
      <c r="Z35" s="245" t="s">
        <v>110</v>
      </c>
      <c r="AA35" s="238">
        <v>2</v>
      </c>
      <c r="AB35" s="143">
        <v>1</v>
      </c>
      <c r="AC35" s="143">
        <v>0</v>
      </c>
      <c r="AD35" s="143">
        <v>3</v>
      </c>
      <c r="AE35" s="143">
        <v>2</v>
      </c>
      <c r="AF35" s="143">
        <v>3</v>
      </c>
      <c r="AG35" s="143">
        <v>2</v>
      </c>
      <c r="AH35" s="143">
        <v>2</v>
      </c>
      <c r="AI35" s="143">
        <v>1</v>
      </c>
      <c r="AJ35" s="143">
        <v>3</v>
      </c>
      <c r="AK35" s="143">
        <v>2</v>
      </c>
      <c r="AL35" s="143">
        <v>0</v>
      </c>
      <c r="AM35" s="143">
        <v>1</v>
      </c>
      <c r="AN35" s="143">
        <v>0</v>
      </c>
      <c r="AO35" s="143">
        <v>0</v>
      </c>
      <c r="AP35" s="143">
        <v>0</v>
      </c>
      <c r="AQ35" s="144">
        <v>4</v>
      </c>
      <c r="AR35" s="144">
        <v>5</v>
      </c>
      <c r="AS35" s="144">
        <v>1</v>
      </c>
      <c r="AT35" s="145">
        <v>5</v>
      </c>
      <c r="AU35" s="146">
        <v>5</v>
      </c>
      <c r="AV35" s="144">
        <v>6</v>
      </c>
      <c r="AW35" s="144">
        <v>5</v>
      </c>
      <c r="AX35" s="144">
        <v>5</v>
      </c>
      <c r="AY35" s="144">
        <v>6</v>
      </c>
      <c r="AZ35" s="144">
        <v>5</v>
      </c>
      <c r="BA35" s="146">
        <v>5</v>
      </c>
      <c r="BB35" s="144">
        <v>3</v>
      </c>
      <c r="BC35" s="147">
        <v>3</v>
      </c>
      <c r="BD35" s="144">
        <v>2</v>
      </c>
      <c r="BE35" s="144">
        <v>4</v>
      </c>
      <c r="BF35" s="144">
        <v>4</v>
      </c>
      <c r="BG35" s="144">
        <v>6</v>
      </c>
      <c r="BH35" s="144">
        <v>5</v>
      </c>
      <c r="BI35" s="144">
        <v>4</v>
      </c>
      <c r="BJ35" s="144">
        <v>3</v>
      </c>
      <c r="BK35" s="144">
        <v>6</v>
      </c>
      <c r="BL35" s="144">
        <v>4</v>
      </c>
      <c r="BM35" s="148">
        <v>5</v>
      </c>
    </row>
    <row r="36" spans="1:68" s="2" customFormat="1" ht="21.95" customHeight="1" thickBot="1" x14ac:dyDescent="0.35">
      <c r="A36" s="18" t="s">
        <v>20</v>
      </c>
      <c r="B36"/>
      <c r="C36" s="87"/>
      <c r="D36" s="88"/>
      <c r="E36" s="88"/>
      <c r="F36" s="88"/>
      <c r="G36" s="89"/>
      <c r="H36" s="88"/>
      <c r="I36" s="88"/>
      <c r="J36" s="88"/>
      <c r="K36" s="88"/>
      <c r="L36" s="88"/>
      <c r="M36" s="88"/>
      <c r="N36" s="88"/>
      <c r="O36" s="88"/>
      <c r="P36" s="90"/>
      <c r="Q36" s="88"/>
      <c r="R36" s="88"/>
      <c r="S36" s="88"/>
      <c r="T36" s="88"/>
      <c r="U36" s="88"/>
      <c r="V36" s="88"/>
      <c r="W36" s="525"/>
      <c r="X36" s="525"/>
      <c r="Y36" s="522"/>
      <c r="Z36" s="246" t="s">
        <v>20</v>
      </c>
      <c r="AA36" s="355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  <c r="AQ36" s="356"/>
      <c r="AR36" s="356"/>
      <c r="AS36" s="356"/>
      <c r="AT36" s="357"/>
      <c r="AU36" s="355"/>
      <c r="AV36" s="356"/>
      <c r="AW36" s="356"/>
      <c r="AX36" s="356"/>
      <c r="AY36" s="356"/>
      <c r="AZ36" s="356"/>
      <c r="BA36" s="355"/>
      <c r="BB36" s="356"/>
      <c r="BC36" s="356"/>
      <c r="BD36" s="356"/>
      <c r="BE36" s="356"/>
      <c r="BF36" s="356"/>
      <c r="BG36" s="356"/>
      <c r="BH36" s="356"/>
      <c r="BI36" s="356"/>
      <c r="BJ36" s="356"/>
      <c r="BK36" s="356"/>
      <c r="BL36" s="358"/>
      <c r="BM36" s="359"/>
    </row>
    <row r="37" spans="1:68" s="65" customFormat="1" ht="21.95" customHeight="1" thickBot="1" x14ac:dyDescent="0.35">
      <c r="A37" s="63" t="s">
        <v>21</v>
      </c>
      <c r="B37" s="64"/>
      <c r="C37" s="153" t="s">
        <v>135</v>
      </c>
      <c r="D37" s="154" t="s">
        <v>136</v>
      </c>
      <c r="E37" s="154" t="s">
        <v>137</v>
      </c>
      <c r="F37" s="154" t="s">
        <v>138</v>
      </c>
      <c r="G37" s="154" t="s">
        <v>139</v>
      </c>
      <c r="H37" s="154" t="s">
        <v>140</v>
      </c>
      <c r="I37" s="155" t="s">
        <v>141</v>
      </c>
      <c r="J37" s="154" t="s">
        <v>142</v>
      </c>
      <c r="K37" s="154" t="s">
        <v>143</v>
      </c>
      <c r="L37" s="154" t="s">
        <v>144</v>
      </c>
      <c r="M37" s="154" t="s">
        <v>145</v>
      </c>
      <c r="N37" s="154" t="s">
        <v>146</v>
      </c>
      <c r="O37" s="154" t="s">
        <v>147</v>
      </c>
      <c r="P37" s="154" t="s">
        <v>148</v>
      </c>
      <c r="Q37" s="154" t="s">
        <v>149</v>
      </c>
      <c r="R37" s="154" t="s">
        <v>150</v>
      </c>
      <c r="S37" s="154" t="s">
        <v>151</v>
      </c>
      <c r="T37" s="154" t="s">
        <v>152</v>
      </c>
      <c r="U37" s="154" t="s">
        <v>153</v>
      </c>
      <c r="V37" s="521" t="s">
        <v>154</v>
      </c>
      <c r="W37" s="523" t="s">
        <v>303</v>
      </c>
      <c r="X37" s="524" t="s">
        <v>304</v>
      </c>
      <c r="Y37" s="524" t="s">
        <v>305</v>
      </c>
      <c r="Z37" s="242" t="s">
        <v>21</v>
      </c>
      <c r="AA37" s="360" t="s">
        <v>22</v>
      </c>
      <c r="AB37" s="361" t="s">
        <v>23</v>
      </c>
      <c r="AC37" s="362" t="s">
        <v>42</v>
      </c>
      <c r="AD37" s="363" t="s">
        <v>24</v>
      </c>
      <c r="AE37" s="364" t="s">
        <v>25</v>
      </c>
      <c r="AF37" s="361" t="s">
        <v>26</v>
      </c>
      <c r="AG37" s="363" t="s">
        <v>27</v>
      </c>
      <c r="AH37" s="362" t="s">
        <v>43</v>
      </c>
      <c r="AI37" s="362" t="s">
        <v>44</v>
      </c>
      <c r="AJ37" s="365" t="s">
        <v>45</v>
      </c>
      <c r="AK37" s="363" t="s">
        <v>28</v>
      </c>
      <c r="AL37" s="363" t="s">
        <v>29</v>
      </c>
      <c r="AM37" s="363" t="s">
        <v>30</v>
      </c>
      <c r="AN37" s="362" t="s">
        <v>46</v>
      </c>
      <c r="AO37" s="363" t="s">
        <v>31</v>
      </c>
      <c r="AP37" s="366" t="s">
        <v>47</v>
      </c>
      <c r="AQ37" s="367" t="s">
        <v>32</v>
      </c>
      <c r="AR37" s="368" t="s">
        <v>48</v>
      </c>
      <c r="AS37" s="361" t="s">
        <v>33</v>
      </c>
      <c r="AT37" s="369" t="s">
        <v>34</v>
      </c>
      <c r="AU37" s="362" t="s">
        <v>49</v>
      </c>
      <c r="AV37" s="363" t="s">
        <v>35</v>
      </c>
      <c r="AW37" s="361" t="s">
        <v>36</v>
      </c>
      <c r="AX37" s="363" t="s">
        <v>37</v>
      </c>
      <c r="AY37" s="361" t="s">
        <v>38</v>
      </c>
      <c r="AZ37" s="363" t="s">
        <v>39</v>
      </c>
      <c r="BA37" s="363" t="s">
        <v>40</v>
      </c>
      <c r="BB37" s="370" t="s">
        <v>41</v>
      </c>
      <c r="BC37" s="361" t="s">
        <v>65</v>
      </c>
      <c r="BD37" s="371" t="s">
        <v>66</v>
      </c>
      <c r="BE37" s="372" t="s">
        <v>50</v>
      </c>
      <c r="BF37" s="371" t="s">
        <v>67</v>
      </c>
      <c r="BG37" s="371" t="s">
        <v>68</v>
      </c>
      <c r="BH37" s="371" t="s">
        <v>69</v>
      </c>
      <c r="BI37" s="371" t="s">
        <v>70</v>
      </c>
      <c r="BJ37" s="363" t="s">
        <v>182</v>
      </c>
      <c r="BK37" s="373" t="s">
        <v>78</v>
      </c>
      <c r="BL37" s="361" t="s">
        <v>71</v>
      </c>
      <c r="BM37" s="127" t="s">
        <v>79</v>
      </c>
    </row>
    <row r="38" spans="1:68" s="5" customFormat="1" ht="35.1" customHeight="1" x14ac:dyDescent="0.3">
      <c r="A38" s="6" t="s">
        <v>51</v>
      </c>
      <c r="B38" s="22"/>
      <c r="C38" s="15" t="s">
        <v>64</v>
      </c>
      <c r="D38" s="16" t="s">
        <v>63</v>
      </c>
      <c r="E38" s="16" t="s">
        <v>63</v>
      </c>
      <c r="F38" s="16" t="s">
        <v>63</v>
      </c>
      <c r="G38" s="16" t="s">
        <v>63</v>
      </c>
      <c r="H38" s="16" t="s">
        <v>63</v>
      </c>
      <c r="I38" s="16" t="s">
        <v>63</v>
      </c>
      <c r="J38" s="16" t="s">
        <v>155</v>
      </c>
      <c r="K38" s="16" t="s">
        <v>63</v>
      </c>
      <c r="L38" s="16" t="s">
        <v>63</v>
      </c>
      <c r="M38" s="16" t="s">
        <v>63</v>
      </c>
      <c r="N38" s="16" t="s">
        <v>63</v>
      </c>
      <c r="O38" s="16" t="s">
        <v>63</v>
      </c>
      <c r="P38" s="16" t="s">
        <v>63</v>
      </c>
      <c r="Q38" s="16" t="s">
        <v>63</v>
      </c>
      <c r="R38" s="16" t="s">
        <v>63</v>
      </c>
      <c r="S38" s="16" t="s">
        <v>63</v>
      </c>
      <c r="T38" s="16" t="s">
        <v>63</v>
      </c>
      <c r="U38" s="16" t="s">
        <v>63</v>
      </c>
      <c r="V38" s="16" t="s">
        <v>63</v>
      </c>
      <c r="W38" s="526" t="s">
        <v>64</v>
      </c>
      <c r="X38" s="526" t="s">
        <v>64</v>
      </c>
      <c r="Y38" s="507" t="s">
        <v>64</v>
      </c>
      <c r="Z38" s="241" t="s">
        <v>51</v>
      </c>
      <c r="AA38" s="115" t="s">
        <v>100</v>
      </c>
      <c r="AB38" s="116" t="s">
        <v>52</v>
      </c>
      <c r="AC38" s="116" t="s">
        <v>183</v>
      </c>
      <c r="AD38" s="116" t="s">
        <v>53</v>
      </c>
      <c r="AE38" s="116" t="s">
        <v>184</v>
      </c>
      <c r="AF38" s="116" t="s">
        <v>53</v>
      </c>
      <c r="AG38" s="116" t="s">
        <v>52</v>
      </c>
      <c r="AH38" s="116" t="s">
        <v>185</v>
      </c>
      <c r="AI38" s="116" t="s">
        <v>185</v>
      </c>
      <c r="AJ38" s="116" t="s">
        <v>186</v>
      </c>
      <c r="AK38" s="116" t="s">
        <v>52</v>
      </c>
      <c r="AL38" s="116" t="s">
        <v>187</v>
      </c>
      <c r="AM38" s="116" t="s">
        <v>188</v>
      </c>
      <c r="AN38" s="116" t="s">
        <v>183</v>
      </c>
      <c r="AO38" s="116" t="s">
        <v>100</v>
      </c>
      <c r="AP38" s="116" t="s">
        <v>183</v>
      </c>
      <c r="AQ38" s="116" t="s">
        <v>189</v>
      </c>
      <c r="AR38" s="116" t="s">
        <v>183</v>
      </c>
      <c r="AS38" s="116" t="s">
        <v>100</v>
      </c>
      <c r="AT38" s="117" t="s">
        <v>189</v>
      </c>
      <c r="AU38" s="118" t="s">
        <v>185</v>
      </c>
      <c r="AV38" s="116" t="s">
        <v>184</v>
      </c>
      <c r="AW38" s="116" t="s">
        <v>53</v>
      </c>
      <c r="AX38" s="116" t="s">
        <v>190</v>
      </c>
      <c r="AY38" s="116" t="s">
        <v>52</v>
      </c>
      <c r="AZ38" s="116" t="s">
        <v>184</v>
      </c>
      <c r="BA38" s="118" t="s">
        <v>52</v>
      </c>
      <c r="BB38" s="116" t="s">
        <v>190</v>
      </c>
      <c r="BC38" s="116" t="s">
        <v>53</v>
      </c>
      <c r="BD38" s="116" t="s">
        <v>191</v>
      </c>
      <c r="BE38" s="116" t="s">
        <v>183</v>
      </c>
      <c r="BF38" s="116" t="s">
        <v>184</v>
      </c>
      <c r="BG38" s="116" t="s">
        <v>192</v>
      </c>
      <c r="BH38" s="116" t="s">
        <v>53</v>
      </c>
      <c r="BI38" s="116" t="s">
        <v>193</v>
      </c>
      <c r="BJ38" s="116" t="s">
        <v>53</v>
      </c>
      <c r="BK38" s="116" t="s">
        <v>186</v>
      </c>
      <c r="BL38" s="116" t="s">
        <v>184</v>
      </c>
      <c r="BM38" s="295" t="s">
        <v>194</v>
      </c>
    </row>
    <row r="39" spans="1:68" s="5" customFormat="1" ht="30" customHeight="1" x14ac:dyDescent="0.3">
      <c r="A39" s="6" t="s">
        <v>161</v>
      </c>
      <c r="B39"/>
      <c r="C39" s="84" t="s">
        <v>166</v>
      </c>
      <c r="D39" s="81" t="s">
        <v>156</v>
      </c>
      <c r="E39" s="83" t="s">
        <v>164</v>
      </c>
      <c r="F39" s="81" t="s">
        <v>157</v>
      </c>
      <c r="G39" s="83" t="s">
        <v>165</v>
      </c>
      <c r="H39" s="81" t="s">
        <v>157</v>
      </c>
      <c r="I39" s="82" t="s">
        <v>158</v>
      </c>
      <c r="J39" s="82"/>
      <c r="K39" s="81" t="s">
        <v>159</v>
      </c>
      <c r="L39" s="83" t="s">
        <v>164</v>
      </c>
      <c r="M39" s="81" t="s">
        <v>158</v>
      </c>
      <c r="N39" s="83" t="s">
        <v>164</v>
      </c>
      <c r="O39" s="81" t="s">
        <v>157</v>
      </c>
      <c r="P39" s="81" t="s">
        <v>156</v>
      </c>
      <c r="Q39" s="82" t="s">
        <v>158</v>
      </c>
      <c r="R39" s="81" t="s">
        <v>157</v>
      </c>
      <c r="S39" s="81" t="s">
        <v>156</v>
      </c>
      <c r="T39" s="83" t="s">
        <v>162</v>
      </c>
      <c r="U39" s="83" t="s">
        <v>163</v>
      </c>
      <c r="V39" s="81" t="s">
        <v>160</v>
      </c>
      <c r="W39" s="527" t="s">
        <v>307</v>
      </c>
      <c r="X39" s="527" t="s">
        <v>308</v>
      </c>
      <c r="Y39" s="508" t="s">
        <v>309</v>
      </c>
      <c r="Z39" s="241" t="s">
        <v>161</v>
      </c>
      <c r="AA39" s="397"/>
      <c r="AB39" s="398"/>
      <c r="AC39" s="398"/>
      <c r="AD39" s="398"/>
      <c r="AE39" s="398"/>
      <c r="AF39" s="398"/>
      <c r="AG39" s="398"/>
      <c r="AH39" s="398"/>
      <c r="AI39" s="398"/>
      <c r="AJ39" s="398"/>
      <c r="AK39" s="398"/>
      <c r="AL39" s="398"/>
      <c r="AM39" s="398"/>
      <c r="AN39" s="398"/>
      <c r="AO39" s="398"/>
      <c r="AP39" s="398"/>
      <c r="AQ39" s="398"/>
      <c r="AR39" s="398"/>
      <c r="AS39" s="399"/>
      <c r="AT39" s="400"/>
      <c r="AU39" s="401"/>
      <c r="AV39" s="399"/>
      <c r="AW39" s="399"/>
      <c r="AX39" s="398"/>
      <c r="AY39" s="398"/>
      <c r="AZ39" s="398"/>
      <c r="BA39" s="402"/>
      <c r="BB39" s="398"/>
      <c r="BC39" s="398"/>
      <c r="BD39" s="398"/>
      <c r="BE39" s="398"/>
      <c r="BF39" s="398"/>
      <c r="BG39" s="398"/>
      <c r="BH39" s="398"/>
      <c r="BI39" s="398"/>
      <c r="BJ39" s="398"/>
      <c r="BK39" s="398"/>
      <c r="BL39" s="398"/>
      <c r="BM39" s="403"/>
    </row>
    <row r="40" spans="1:68" s="2" customFormat="1" ht="30" customHeight="1" x14ac:dyDescent="0.3">
      <c r="A40" s="20" t="s">
        <v>55</v>
      </c>
      <c r="B40"/>
      <c r="C40" s="413">
        <v>46065</v>
      </c>
      <c r="D40" s="73"/>
      <c r="E40" s="73"/>
      <c r="F40" s="73"/>
      <c r="G40" s="73"/>
      <c r="H40" s="73">
        <v>46062</v>
      </c>
      <c r="I40" s="73"/>
      <c r="J40" s="73"/>
      <c r="K40" s="73"/>
      <c r="L40" s="73"/>
      <c r="M40" s="73">
        <v>46091</v>
      </c>
      <c r="N40" s="73">
        <v>46063</v>
      </c>
      <c r="O40" s="73"/>
      <c r="P40" s="73"/>
      <c r="Q40" s="73">
        <v>46063</v>
      </c>
      <c r="R40" s="73"/>
      <c r="S40" s="414"/>
      <c r="T40" s="73"/>
      <c r="U40" s="73"/>
      <c r="V40" s="73"/>
      <c r="W40" s="528"/>
      <c r="X40" s="528"/>
      <c r="Y40" s="509"/>
      <c r="Z40" s="247" t="s">
        <v>55</v>
      </c>
      <c r="AA40" s="415">
        <v>46086</v>
      </c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>
        <v>46087</v>
      </c>
      <c r="AR40" s="416">
        <v>46097</v>
      </c>
      <c r="AS40" s="428"/>
      <c r="AT40" s="429"/>
      <c r="AU40" s="430">
        <v>46094</v>
      </c>
      <c r="AV40" s="428">
        <v>46109</v>
      </c>
      <c r="AW40" s="428"/>
      <c r="AX40" s="416">
        <v>46101</v>
      </c>
      <c r="AY40" s="416">
        <v>46101</v>
      </c>
      <c r="AZ40" s="416">
        <v>46107</v>
      </c>
      <c r="BA40" s="417">
        <v>46098</v>
      </c>
      <c r="BB40" s="416"/>
      <c r="BC40" s="416"/>
      <c r="BD40" s="416"/>
      <c r="BE40" s="416"/>
      <c r="BF40" s="416"/>
      <c r="BG40" s="416"/>
      <c r="BH40" s="416"/>
      <c r="BI40" s="416"/>
      <c r="BJ40" s="416"/>
      <c r="BK40" s="416"/>
      <c r="BL40" s="416"/>
      <c r="BM40" s="431"/>
    </row>
    <row r="41" spans="1:68" s="2" customFormat="1" ht="30" customHeight="1" x14ac:dyDescent="0.3">
      <c r="A41" s="6" t="s">
        <v>56</v>
      </c>
      <c r="B41"/>
      <c r="C41" s="74" t="s">
        <v>274</v>
      </c>
      <c r="D41" s="75"/>
      <c r="E41" s="75"/>
      <c r="F41" s="75"/>
      <c r="G41" s="75"/>
      <c r="H41" s="75" t="s">
        <v>275</v>
      </c>
      <c r="I41" s="76"/>
      <c r="J41" s="75"/>
      <c r="K41" s="75"/>
      <c r="L41" s="75"/>
      <c r="M41" s="75" t="s">
        <v>280</v>
      </c>
      <c r="N41" s="75" t="s">
        <v>276</v>
      </c>
      <c r="O41" s="75"/>
      <c r="P41" s="75"/>
      <c r="Q41" s="75" t="s">
        <v>276</v>
      </c>
      <c r="R41" s="75"/>
      <c r="S41" s="75"/>
      <c r="T41" s="75"/>
      <c r="U41" s="77"/>
      <c r="V41" s="75"/>
      <c r="W41" s="76"/>
      <c r="X41" s="76"/>
      <c r="Y41" s="510"/>
      <c r="Z41" s="241" t="s">
        <v>56</v>
      </c>
      <c r="AA41" s="432" t="s">
        <v>278</v>
      </c>
      <c r="AB41" s="433"/>
      <c r="AC41" s="433"/>
      <c r="AD41" s="433"/>
      <c r="AE41" s="433"/>
      <c r="AF41" s="414"/>
      <c r="AG41" s="414"/>
      <c r="AH41" s="414"/>
      <c r="AI41" s="433"/>
      <c r="AJ41" s="434"/>
      <c r="AK41" s="433"/>
      <c r="AL41" s="433"/>
      <c r="AM41" s="433"/>
      <c r="AN41" s="433"/>
      <c r="AO41" s="433"/>
      <c r="AP41" s="433"/>
      <c r="AQ41" s="433" t="s">
        <v>279</v>
      </c>
      <c r="AR41" s="433" t="s">
        <v>281</v>
      </c>
      <c r="AS41" s="435"/>
      <c r="AT41" s="436"/>
      <c r="AU41" s="437" t="s">
        <v>281</v>
      </c>
      <c r="AV41" s="440" t="s">
        <v>285</v>
      </c>
      <c r="AW41" s="438"/>
      <c r="AX41" s="440" t="s">
        <v>283</v>
      </c>
      <c r="AY41" s="440" t="s">
        <v>283</v>
      </c>
      <c r="AZ41" s="440" t="s">
        <v>284</v>
      </c>
      <c r="BA41" s="440" t="s">
        <v>282</v>
      </c>
      <c r="BB41" s="433"/>
      <c r="BC41" s="433"/>
      <c r="BD41" s="433"/>
      <c r="BE41" s="433"/>
      <c r="BF41" s="433"/>
      <c r="BG41" s="433"/>
      <c r="BH41" s="433"/>
      <c r="BI41" s="433"/>
      <c r="BJ41" s="433"/>
      <c r="BK41" s="433"/>
      <c r="BL41" s="433"/>
      <c r="BM41" s="439"/>
    </row>
    <row r="42" spans="1:68" s="2" customFormat="1" ht="30" customHeight="1" x14ac:dyDescent="0.3">
      <c r="A42" s="61" t="s">
        <v>55</v>
      </c>
      <c r="B42"/>
      <c r="C42" s="74"/>
      <c r="D42" s="75"/>
      <c r="E42" s="78"/>
      <c r="F42" s="78"/>
      <c r="G42" s="75"/>
      <c r="H42" s="75"/>
      <c r="I42" s="78"/>
      <c r="J42" s="72"/>
      <c r="K42" s="72"/>
      <c r="L42" s="75"/>
      <c r="M42" s="75"/>
      <c r="N42" s="75"/>
      <c r="O42" s="75"/>
      <c r="P42" s="75"/>
      <c r="Q42" s="75"/>
      <c r="R42" s="75"/>
      <c r="S42" s="75"/>
      <c r="T42" s="75"/>
      <c r="U42" s="77"/>
      <c r="V42" s="75"/>
      <c r="W42" s="76"/>
      <c r="X42" s="76"/>
      <c r="Y42" s="510"/>
      <c r="Z42" s="248" t="s">
        <v>55</v>
      </c>
      <c r="AA42" s="404"/>
      <c r="AB42" s="405"/>
      <c r="AC42" s="405"/>
      <c r="AD42" s="405"/>
      <c r="AE42" s="405"/>
      <c r="AF42" s="405"/>
      <c r="AG42" s="406"/>
      <c r="AH42" s="405"/>
      <c r="AI42" s="405"/>
      <c r="AJ42" s="405"/>
      <c r="AK42" s="405"/>
      <c r="AL42" s="405"/>
      <c r="AM42" s="405"/>
      <c r="AN42" s="405"/>
      <c r="AO42" s="405"/>
      <c r="AP42" s="405"/>
      <c r="AQ42" s="405"/>
      <c r="AR42" s="405"/>
      <c r="AS42" s="407"/>
      <c r="AT42" s="408"/>
      <c r="AU42" s="409"/>
      <c r="AV42" s="407"/>
      <c r="AW42" s="410"/>
      <c r="AX42" s="405"/>
      <c r="AY42" s="405"/>
      <c r="AZ42" s="405"/>
      <c r="BA42" s="411"/>
      <c r="BB42" s="405"/>
      <c r="BC42" s="405"/>
      <c r="BD42" s="405"/>
      <c r="BE42" s="405"/>
      <c r="BF42" s="405"/>
      <c r="BG42" s="405"/>
      <c r="BH42" s="405"/>
      <c r="BI42" s="405"/>
      <c r="BJ42" s="405"/>
      <c r="BK42" s="405"/>
      <c r="BL42" s="405"/>
      <c r="BM42" s="412"/>
    </row>
    <row r="43" spans="1:68" s="2" customFormat="1" ht="30" customHeight="1" x14ac:dyDescent="0.3">
      <c r="A43" s="62" t="s">
        <v>56</v>
      </c>
      <c r="B43"/>
      <c r="C43" s="74"/>
      <c r="D43" s="75"/>
      <c r="E43" s="79"/>
      <c r="F43" s="79"/>
      <c r="G43" s="75"/>
      <c r="H43" s="75"/>
      <c r="I43" s="79"/>
      <c r="J43" s="76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7"/>
      <c r="V43" s="75"/>
      <c r="W43" s="76"/>
      <c r="X43" s="76"/>
      <c r="Y43" s="510"/>
      <c r="Z43" s="249" t="s">
        <v>56</v>
      </c>
      <c r="AA43" s="404"/>
      <c r="AB43" s="405"/>
      <c r="AC43" s="405"/>
      <c r="AD43" s="405"/>
      <c r="AE43" s="405"/>
      <c r="AF43" s="405"/>
      <c r="AG43" s="406"/>
      <c r="AH43" s="405"/>
      <c r="AI43" s="405"/>
      <c r="AJ43" s="405"/>
      <c r="AK43" s="405"/>
      <c r="AL43" s="405"/>
      <c r="AM43" s="405"/>
      <c r="AN43" s="405"/>
      <c r="AO43" s="405"/>
      <c r="AP43" s="405"/>
      <c r="AQ43" s="405"/>
      <c r="AR43" s="405"/>
      <c r="AS43" s="407"/>
      <c r="AT43" s="408"/>
      <c r="AU43" s="409"/>
      <c r="AV43" s="407"/>
      <c r="AW43" s="410"/>
      <c r="AX43" s="405"/>
      <c r="AY43" s="405"/>
      <c r="AZ43" s="405"/>
      <c r="BA43" s="411"/>
      <c r="BB43" s="405"/>
      <c r="BC43" s="405"/>
      <c r="BD43" s="405"/>
      <c r="BE43" s="405"/>
      <c r="BF43" s="405"/>
      <c r="BG43" s="405"/>
      <c r="BH43" s="405"/>
      <c r="BI43" s="405"/>
      <c r="BJ43" s="405"/>
      <c r="BK43" s="405"/>
      <c r="BL43" s="405"/>
      <c r="BM43" s="412"/>
    </row>
    <row r="44" spans="1:68" s="5" customFormat="1" ht="30" customHeight="1" x14ac:dyDescent="0.3">
      <c r="A44" s="6" t="s">
        <v>57</v>
      </c>
      <c r="B44"/>
      <c r="C44" s="121" t="s">
        <v>168</v>
      </c>
      <c r="D44" s="122" t="s">
        <v>168</v>
      </c>
      <c r="E44" s="122" t="s">
        <v>169</v>
      </c>
      <c r="F44" s="122" t="s">
        <v>170</v>
      </c>
      <c r="G44" s="122" t="s">
        <v>171</v>
      </c>
      <c r="H44" s="122" t="s">
        <v>172</v>
      </c>
      <c r="I44" s="124" t="s">
        <v>173</v>
      </c>
      <c r="J44" s="122" t="s">
        <v>174</v>
      </c>
      <c r="K44" s="122" t="s">
        <v>173</v>
      </c>
      <c r="L44" s="122" t="s">
        <v>172</v>
      </c>
      <c r="M44" s="122" t="s">
        <v>173</v>
      </c>
      <c r="N44" s="122" t="s">
        <v>175</v>
      </c>
      <c r="O44" s="122" t="s">
        <v>175</v>
      </c>
      <c r="P44" s="122" t="s">
        <v>176</v>
      </c>
      <c r="Q44" s="122" t="s">
        <v>177</v>
      </c>
      <c r="R44" s="122" t="s">
        <v>178</v>
      </c>
      <c r="S44" s="122" t="s">
        <v>176</v>
      </c>
      <c r="T44" s="122" t="s">
        <v>172</v>
      </c>
      <c r="U44" s="17" t="s">
        <v>172</v>
      </c>
      <c r="V44" s="122" t="s">
        <v>179</v>
      </c>
      <c r="W44" s="124" t="s">
        <v>171</v>
      </c>
      <c r="X44" s="124" t="s">
        <v>179</v>
      </c>
      <c r="Y44" s="511" t="s">
        <v>306</v>
      </c>
      <c r="Z44" s="241" t="s">
        <v>57</v>
      </c>
      <c r="AA44" s="121" t="s">
        <v>200</v>
      </c>
      <c r="AB44" s="122" t="s">
        <v>201</v>
      </c>
      <c r="AC44" s="122" t="s">
        <v>195</v>
      </c>
      <c r="AD44" s="122" t="s">
        <v>202</v>
      </c>
      <c r="AE44" s="122" t="s">
        <v>203</v>
      </c>
      <c r="AF44" s="122" t="s">
        <v>204</v>
      </c>
      <c r="AG44" s="122" t="s">
        <v>205</v>
      </c>
      <c r="AH44" s="122" t="s">
        <v>206</v>
      </c>
      <c r="AI44" s="122" t="s">
        <v>196</v>
      </c>
      <c r="AJ44" s="122" t="s">
        <v>197</v>
      </c>
      <c r="AK44" s="122" t="s">
        <v>207</v>
      </c>
      <c r="AL44" s="122" t="s">
        <v>174</v>
      </c>
      <c r="AM44" s="122" t="s">
        <v>208</v>
      </c>
      <c r="AN44" s="122" t="s">
        <v>209</v>
      </c>
      <c r="AO44" s="122" t="s">
        <v>210</v>
      </c>
      <c r="AP44" s="122" t="s">
        <v>211</v>
      </c>
      <c r="AQ44" s="122" t="s">
        <v>212</v>
      </c>
      <c r="AR44" s="122" t="s">
        <v>196</v>
      </c>
      <c r="AS44" s="122" t="s">
        <v>213</v>
      </c>
      <c r="AT44" s="123" t="s">
        <v>214</v>
      </c>
      <c r="AU44" s="124" t="s">
        <v>196</v>
      </c>
      <c r="AV44" s="122" t="s">
        <v>207</v>
      </c>
      <c r="AW44" s="122" t="s">
        <v>215</v>
      </c>
      <c r="AX44" s="122" t="s">
        <v>216</v>
      </c>
      <c r="AY44" s="122" t="s">
        <v>216</v>
      </c>
      <c r="AZ44" s="122" t="s">
        <v>210</v>
      </c>
      <c r="BA44" s="124" t="s">
        <v>203</v>
      </c>
      <c r="BB44" s="122" t="s">
        <v>200</v>
      </c>
      <c r="BC44" s="122" t="s">
        <v>217</v>
      </c>
      <c r="BD44" s="122" t="s">
        <v>179</v>
      </c>
      <c r="BE44" s="122" t="s">
        <v>196</v>
      </c>
      <c r="BF44" s="122" t="s">
        <v>218</v>
      </c>
      <c r="BG44" s="122" t="s">
        <v>219</v>
      </c>
      <c r="BH44" s="122" t="s">
        <v>220</v>
      </c>
      <c r="BI44" s="122" t="s">
        <v>221</v>
      </c>
      <c r="BJ44" s="122" t="s">
        <v>222</v>
      </c>
      <c r="BK44" s="122" t="s">
        <v>199</v>
      </c>
      <c r="BL44" s="122" t="s">
        <v>210</v>
      </c>
      <c r="BM44" s="126" t="s">
        <v>198</v>
      </c>
      <c r="BP44" s="374"/>
    </row>
    <row r="45" spans="1:68" s="52" customFormat="1" ht="30" customHeight="1" x14ac:dyDescent="0.3">
      <c r="A45" s="47" t="s">
        <v>58</v>
      </c>
      <c r="B45" s="48"/>
      <c r="C45" s="40"/>
      <c r="D45" s="41"/>
      <c r="E45" s="41"/>
      <c r="F45" s="41"/>
      <c r="G45" s="57"/>
      <c r="H45" s="41"/>
      <c r="I45" s="42"/>
      <c r="J45" s="43"/>
      <c r="K45" s="43"/>
      <c r="L45" s="43"/>
      <c r="M45" s="43"/>
      <c r="N45" s="41"/>
      <c r="O45" s="41"/>
      <c r="P45" s="41"/>
      <c r="Q45" s="41"/>
      <c r="R45" s="41"/>
      <c r="S45" s="41"/>
      <c r="T45" s="41"/>
      <c r="U45" s="44"/>
      <c r="V45" s="41"/>
      <c r="W45" s="529"/>
      <c r="X45" s="529"/>
      <c r="Y45" s="512"/>
      <c r="Z45" s="250" t="s">
        <v>58</v>
      </c>
      <c r="AA45" s="49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50"/>
      <c r="AT45" s="104"/>
      <c r="AU45" s="51"/>
      <c r="AV45" s="50"/>
      <c r="AW45" s="50"/>
      <c r="AX45" s="43"/>
      <c r="AY45" s="43"/>
      <c r="AZ45" s="43"/>
      <c r="BA45" s="42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302"/>
      <c r="BP45" s="375"/>
    </row>
    <row r="46" spans="1:68" s="52" customFormat="1" ht="30" customHeight="1" x14ac:dyDescent="0.3">
      <c r="A46" s="53" t="s">
        <v>59</v>
      </c>
      <c r="B46" s="48"/>
      <c r="C46" s="31"/>
      <c r="D46" s="32"/>
      <c r="E46" s="32"/>
      <c r="F46" s="60"/>
      <c r="G46" s="32"/>
      <c r="H46" s="33"/>
      <c r="I46" s="34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45"/>
      <c r="V46" s="32"/>
      <c r="W46" s="34"/>
      <c r="X46" s="34"/>
      <c r="Y46" s="513"/>
      <c r="Z46" s="251" t="s">
        <v>59</v>
      </c>
      <c r="AA46" s="49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50"/>
      <c r="AT46" s="104"/>
      <c r="AU46" s="51"/>
      <c r="AV46" s="50"/>
      <c r="AW46" s="50"/>
      <c r="AX46" s="43"/>
      <c r="AY46" s="43"/>
      <c r="AZ46" s="43"/>
      <c r="BA46" s="42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302"/>
      <c r="BP46" s="375"/>
    </row>
    <row r="47" spans="1:68" s="52" customFormat="1" ht="30" customHeight="1" thickBot="1" x14ac:dyDescent="0.35">
      <c r="A47" s="54" t="s">
        <v>60</v>
      </c>
      <c r="B47" s="48"/>
      <c r="C47" s="35"/>
      <c r="D47" s="36"/>
      <c r="E47" s="36"/>
      <c r="F47" s="37"/>
      <c r="G47" s="36"/>
      <c r="H47" s="38"/>
      <c r="I47" s="39"/>
      <c r="J47" s="38"/>
      <c r="K47" s="38"/>
      <c r="L47" s="38"/>
      <c r="M47" s="36"/>
      <c r="N47" s="36"/>
      <c r="O47" s="36"/>
      <c r="P47" s="36"/>
      <c r="Q47" s="36"/>
      <c r="R47" s="37"/>
      <c r="S47" s="36"/>
      <c r="T47" s="38"/>
      <c r="U47" s="46"/>
      <c r="V47" s="36"/>
      <c r="W47" s="39"/>
      <c r="X47" s="39"/>
      <c r="Y47" s="514"/>
      <c r="Z47" s="252" t="s">
        <v>60</v>
      </c>
      <c r="AA47" s="376"/>
      <c r="AB47" s="377"/>
      <c r="AC47" s="377"/>
      <c r="AD47" s="377"/>
      <c r="AE47" s="377"/>
      <c r="AF47" s="377"/>
      <c r="AG47" s="377"/>
      <c r="AH47" s="377"/>
      <c r="AI47" s="377"/>
      <c r="AJ47" s="377"/>
      <c r="AK47" s="377"/>
      <c r="AL47" s="377"/>
      <c r="AM47" s="377"/>
      <c r="AN47" s="377"/>
      <c r="AO47" s="377"/>
      <c r="AP47" s="377"/>
      <c r="AQ47" s="377"/>
      <c r="AR47" s="377"/>
      <c r="AS47" s="55"/>
      <c r="AT47" s="105"/>
      <c r="AU47" s="56"/>
      <c r="AV47" s="55"/>
      <c r="AW47" s="55"/>
      <c r="AX47" s="377"/>
      <c r="AY47" s="377"/>
      <c r="AZ47" s="377"/>
      <c r="BA47" s="378"/>
      <c r="BB47" s="377"/>
      <c r="BC47" s="377"/>
      <c r="BD47" s="377"/>
      <c r="BE47" s="377"/>
      <c r="BF47" s="377"/>
      <c r="BG47" s="377"/>
      <c r="BH47" s="377"/>
      <c r="BI47" s="377"/>
      <c r="BJ47" s="377"/>
      <c r="BK47" s="377"/>
      <c r="BL47" s="377"/>
      <c r="BM47" s="379"/>
      <c r="BP47" s="375"/>
    </row>
    <row r="48" spans="1:68" s="2" customFormat="1" ht="21.95" customHeight="1" thickBot="1" x14ac:dyDescent="0.35">
      <c r="A48" s="21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s="12"/>
      <c r="BH48" s="12"/>
      <c r="BI48" s="12"/>
      <c r="BJ48" s="12"/>
    </row>
    <row r="49" spans="1:67" ht="20.25" thickBot="1" x14ac:dyDescent="0.35">
      <c r="A49" s="6" t="s">
        <v>1</v>
      </c>
      <c r="C49" s="1043" t="s">
        <v>223</v>
      </c>
      <c r="D49" s="1044"/>
      <c r="E49" s="1044"/>
      <c r="F49" s="1044"/>
      <c r="G49" s="1045"/>
      <c r="H49" s="1046" t="s">
        <v>99</v>
      </c>
      <c r="I49" s="1044"/>
      <c r="J49" s="1044"/>
      <c r="K49" s="1044"/>
      <c r="L49" s="1044"/>
      <c r="M49" s="1044"/>
      <c r="N49" s="1044"/>
      <c r="O49" s="1043" t="s">
        <v>224</v>
      </c>
      <c r="P49" s="1044"/>
      <c r="Q49" s="1044"/>
      <c r="R49" s="1044"/>
      <c r="S49" s="1044"/>
      <c r="T49" s="1044"/>
      <c r="U49" s="1044"/>
      <c r="V49" s="1044"/>
      <c r="W49" s="1044"/>
      <c r="X49" s="1044"/>
      <c r="Y49" s="1044"/>
      <c r="Z49" s="1044"/>
      <c r="AA49" s="1044"/>
      <c r="AB49" s="1047"/>
      <c r="AC49" s="1038" t="s">
        <v>225</v>
      </c>
      <c r="AD49" s="981"/>
      <c r="AE49" s="981"/>
      <c r="AF49" s="981"/>
      <c r="AG49" s="981"/>
      <c r="AH49" s="981"/>
      <c r="AI49" s="981"/>
      <c r="AJ49" s="981"/>
      <c r="AK49" s="981"/>
      <c r="AL49" s="1039"/>
      <c r="AM49" s="235" t="s">
        <v>1</v>
      </c>
      <c r="AN49" s="982" t="s">
        <v>254</v>
      </c>
      <c r="AO49" s="981"/>
      <c r="AP49" s="981"/>
      <c r="AQ49" s="981"/>
      <c r="AR49" s="928"/>
      <c r="AS49" s="982" t="s">
        <v>255</v>
      </c>
      <c r="AT49" s="981"/>
      <c r="AU49" s="981"/>
      <c r="AV49" s="981"/>
      <c r="AW49" s="981"/>
      <c r="AX49" s="981"/>
      <c r="AY49" s="981"/>
      <c r="AZ49" s="981"/>
      <c r="BA49" s="981"/>
      <c r="BB49" s="981"/>
      <c r="BC49" s="981"/>
      <c r="BD49" s="981"/>
      <c r="BE49" s="981"/>
      <c r="BF49" s="981"/>
      <c r="BG49" s="981"/>
      <c r="BH49" s="981"/>
      <c r="BI49" s="981"/>
      <c r="BJ49" s="981"/>
      <c r="BK49" s="981"/>
      <c r="BL49" s="981"/>
      <c r="BM49" s="928"/>
    </row>
    <row r="50" spans="1:67" ht="17.25" customHeight="1" x14ac:dyDescent="0.3">
      <c r="A50" s="18" t="s">
        <v>6</v>
      </c>
      <c r="C50" s="151"/>
      <c r="D50" s="337"/>
      <c r="E50" s="337"/>
      <c r="F50" s="337"/>
      <c r="G50" s="337"/>
      <c r="H50" s="128"/>
      <c r="I50" s="337"/>
      <c r="J50" s="337"/>
      <c r="K50" s="337"/>
      <c r="L50" s="337"/>
      <c r="M50" s="128"/>
      <c r="N50" s="337"/>
      <c r="O50" s="337"/>
      <c r="P50" s="337"/>
      <c r="Q50" s="337"/>
      <c r="R50" s="337"/>
      <c r="S50" s="337"/>
      <c r="T50" s="128"/>
      <c r="U50" s="337"/>
      <c r="V50" s="337"/>
      <c r="W50" s="337"/>
      <c r="X50" s="337"/>
      <c r="Y50" s="337"/>
      <c r="Z50" s="337"/>
      <c r="AA50" s="337"/>
      <c r="AB50" s="335"/>
      <c r="AC50" s="335"/>
      <c r="AD50" s="30"/>
      <c r="AE50" s="335"/>
      <c r="AF50" s="335"/>
      <c r="AG50" s="335"/>
      <c r="AH50" s="335"/>
      <c r="AI50" s="335"/>
      <c r="AJ50" s="30"/>
      <c r="AK50" s="30"/>
      <c r="AL50" s="336"/>
      <c r="AM50" s="239" t="s">
        <v>6</v>
      </c>
      <c r="AN50" s="293"/>
      <c r="AO50" s="30"/>
      <c r="AP50" s="30"/>
      <c r="AQ50" s="80"/>
      <c r="AR50" s="92"/>
      <c r="AS50" s="1118" t="s">
        <v>256</v>
      </c>
      <c r="AT50" s="1119"/>
      <c r="AU50" s="1124"/>
      <c r="AV50" s="1125"/>
      <c r="AW50" s="1125"/>
      <c r="AX50" s="1125"/>
      <c r="AY50" s="1125"/>
      <c r="AZ50" s="1125"/>
      <c r="BA50" s="1125"/>
      <c r="BB50" s="1125"/>
      <c r="BC50" s="1125"/>
      <c r="BD50" s="1125"/>
      <c r="BE50" s="1125"/>
      <c r="BF50" s="1125"/>
      <c r="BG50" s="1125"/>
      <c r="BH50" s="1125"/>
      <c r="BI50" s="1125"/>
      <c r="BJ50" s="1125"/>
      <c r="BK50" s="1125"/>
      <c r="BL50" s="1125"/>
      <c r="BM50" s="1126"/>
    </row>
    <row r="51" spans="1:67" ht="15" customHeight="1" x14ac:dyDescent="0.3">
      <c r="A51" s="19" t="s">
        <v>7</v>
      </c>
      <c r="C51" s="152"/>
      <c r="D51" s="256"/>
      <c r="E51" s="256"/>
      <c r="F51" s="268"/>
      <c r="G51" s="256"/>
      <c r="I51" s="256"/>
      <c r="J51" s="256"/>
      <c r="K51" s="256"/>
      <c r="L51" s="256"/>
      <c r="N51" s="256"/>
      <c r="O51" s="268"/>
      <c r="P51" s="256"/>
      <c r="Q51" s="256"/>
      <c r="R51" s="256"/>
      <c r="S51" s="256"/>
      <c r="U51" s="256"/>
      <c r="V51" s="268"/>
      <c r="W51" s="268"/>
      <c r="X51" s="268"/>
      <c r="Y51" s="268"/>
      <c r="Z51" s="256"/>
      <c r="AA51" s="256"/>
      <c r="AB51" s="256"/>
      <c r="AC51" s="256"/>
      <c r="AE51" s="268"/>
      <c r="AF51" s="256"/>
      <c r="AG51" s="256"/>
      <c r="AH51" s="256"/>
      <c r="AI51" s="256"/>
      <c r="AL51" s="275"/>
      <c r="AM51" s="240" t="s">
        <v>7</v>
      </c>
      <c r="AN51" s="305"/>
      <c r="AO51" s="306"/>
      <c r="AP51" s="306"/>
      <c r="AQ51" s="306"/>
      <c r="AR51" s="307"/>
      <c r="AS51" s="1120"/>
      <c r="AT51" s="1121"/>
      <c r="AU51" s="1127"/>
      <c r="AV51" s="1128"/>
      <c r="AW51" s="1128"/>
      <c r="AX51" s="1128"/>
      <c r="AY51" s="1128"/>
      <c r="AZ51" s="1128"/>
      <c r="BA51" s="1128"/>
      <c r="BB51" s="1128"/>
      <c r="BC51" s="1128"/>
      <c r="BD51" s="1128"/>
      <c r="BE51" s="1128"/>
      <c r="BF51" s="1128"/>
      <c r="BG51" s="1128"/>
      <c r="BH51" s="1128"/>
      <c r="BI51" s="1128"/>
      <c r="BJ51" s="1128"/>
      <c r="BK51" s="1128"/>
      <c r="BL51" s="1128"/>
      <c r="BM51" s="1129"/>
    </row>
    <row r="52" spans="1:67" ht="30" customHeight="1" thickBot="1" x14ac:dyDescent="0.35">
      <c r="A52" s="6" t="s">
        <v>8</v>
      </c>
      <c r="C52" s="212"/>
      <c r="D52" s="390">
        <v>30</v>
      </c>
      <c r="E52" s="390">
        <v>26</v>
      </c>
      <c r="F52" s="389">
        <v>12.758762886597939</v>
      </c>
      <c r="G52" s="390">
        <v>27.694235588972433</v>
      </c>
      <c r="H52" s="213"/>
      <c r="I52" s="390">
        <v>23</v>
      </c>
      <c r="J52" s="390">
        <v>23.372717508055857</v>
      </c>
      <c r="K52" s="390">
        <v>28.911564625850342</v>
      </c>
      <c r="L52" s="390">
        <v>15.352577319587629</v>
      </c>
      <c r="M52" s="213"/>
      <c r="N52" s="390">
        <v>25.746509129967777</v>
      </c>
      <c r="O52" s="389">
        <v>18.507216494845363</v>
      </c>
      <c r="P52" s="390"/>
      <c r="Q52" s="390">
        <v>8.4724919093851128</v>
      </c>
      <c r="R52" s="390">
        <v>5.1127819548872182</v>
      </c>
      <c r="S52" s="390">
        <v>14.084142394822006</v>
      </c>
      <c r="T52" s="213"/>
      <c r="U52" s="390">
        <v>22.277121374865736</v>
      </c>
      <c r="V52" s="389">
        <v>18.08659793814433</v>
      </c>
      <c r="W52" s="389"/>
      <c r="X52" s="389"/>
      <c r="Y52" s="389"/>
      <c r="Z52" s="390">
        <v>31</v>
      </c>
      <c r="AA52" s="390">
        <v>20.411003236245953</v>
      </c>
      <c r="AB52" s="390">
        <v>31.285356247762262</v>
      </c>
      <c r="AC52" s="265">
        <v>29.094163981382028</v>
      </c>
      <c r="AD52" s="213"/>
      <c r="AE52" s="389">
        <v>5.1127819548872182</v>
      </c>
      <c r="AF52" s="265">
        <v>42</v>
      </c>
      <c r="AG52" s="265">
        <v>27.024704618689583</v>
      </c>
      <c r="AH52" s="390">
        <v>28.424633011099179</v>
      </c>
      <c r="AI52" s="390">
        <v>20.399999999999999</v>
      </c>
      <c r="AJ52" s="214"/>
      <c r="AK52" s="215"/>
      <c r="AL52" s="394">
        <v>11.637113402061855</v>
      </c>
      <c r="AM52" s="241" t="s">
        <v>8</v>
      </c>
      <c r="AN52" s="308"/>
      <c r="AO52" s="309"/>
      <c r="AP52" s="310"/>
      <c r="AQ52" s="311"/>
      <c r="AR52" s="312"/>
      <c r="AS52" s="1122"/>
      <c r="AT52" s="1123"/>
      <c r="AU52" s="1130"/>
      <c r="AV52" s="1131"/>
      <c r="AW52" s="1131"/>
      <c r="AX52" s="1131"/>
      <c r="AY52" s="1131"/>
      <c r="AZ52" s="1131"/>
      <c r="BA52" s="1131"/>
      <c r="BB52" s="1131"/>
      <c r="BC52" s="1128"/>
      <c r="BD52" s="1128"/>
      <c r="BE52" s="1128"/>
      <c r="BF52" s="1131"/>
      <c r="BG52" s="1131"/>
      <c r="BH52" s="1131"/>
      <c r="BI52" s="1131"/>
      <c r="BJ52" s="1131"/>
      <c r="BK52" s="1131"/>
      <c r="BL52" s="1131"/>
      <c r="BM52" s="1132"/>
    </row>
    <row r="53" spans="1:67" ht="15" customHeight="1" x14ac:dyDescent="0.3">
      <c r="A53" s="6" t="s">
        <v>101</v>
      </c>
      <c r="C53" s="210"/>
      <c r="D53" s="458"/>
      <c r="E53" s="458"/>
      <c r="F53" s="457"/>
      <c r="G53" s="458"/>
      <c r="H53" s="160"/>
      <c r="I53" s="458"/>
      <c r="J53" s="458"/>
      <c r="K53" s="262"/>
      <c r="L53" s="458"/>
      <c r="M53" s="160"/>
      <c r="N53" s="458"/>
      <c r="O53" s="257"/>
      <c r="P53" s="458"/>
      <c r="Q53" s="262"/>
      <c r="R53" s="262"/>
      <c r="S53" s="262"/>
      <c r="T53" s="160"/>
      <c r="U53" s="262"/>
      <c r="V53" s="257"/>
      <c r="W53" s="257"/>
      <c r="X53" s="257"/>
      <c r="Y53" s="257"/>
      <c r="Z53" s="262"/>
      <c r="AA53" s="262"/>
      <c r="AB53" s="262"/>
      <c r="AC53" s="262"/>
      <c r="AD53" s="208"/>
      <c r="AE53" s="257"/>
      <c r="AF53" s="262"/>
      <c r="AG53" s="262"/>
      <c r="AH53" s="262"/>
      <c r="AI53" s="262"/>
      <c r="AJ53" s="209"/>
      <c r="AK53" s="211"/>
      <c r="AL53" s="288"/>
      <c r="AM53" s="241" t="s">
        <v>101</v>
      </c>
      <c r="AN53" s="313"/>
      <c r="AO53" s="309"/>
      <c r="AP53" s="310"/>
      <c r="AQ53" s="309"/>
      <c r="AR53" s="314"/>
      <c r="AS53" s="1167" t="s">
        <v>257</v>
      </c>
      <c r="AT53" s="1018"/>
      <c r="AU53" s="987" t="s">
        <v>272</v>
      </c>
      <c r="AV53" s="988"/>
      <c r="AW53" s="937" t="s">
        <v>265</v>
      </c>
      <c r="AX53" s="1133">
        <v>276</v>
      </c>
      <c r="AY53" s="1134"/>
      <c r="AZ53" s="937" t="s">
        <v>267</v>
      </c>
      <c r="BA53" s="1133">
        <v>124</v>
      </c>
      <c r="BB53" s="1139"/>
      <c r="BC53" s="1142" t="s">
        <v>269</v>
      </c>
      <c r="BD53" s="1143">
        <v>0</v>
      </c>
      <c r="BE53" s="1144"/>
      <c r="BF53" s="1147" t="s">
        <v>271</v>
      </c>
      <c r="BG53" s="1133">
        <f>BA53+BD53</f>
        <v>124</v>
      </c>
      <c r="BH53" s="1134"/>
      <c r="BI53" s="937" t="s">
        <v>262</v>
      </c>
      <c r="BJ53" s="1060">
        <f>IFERROR(BG53/AX53,"")</f>
        <v>0.44927536231884058</v>
      </c>
      <c r="BK53" s="1061"/>
      <c r="BL53" s="937" t="s">
        <v>263</v>
      </c>
      <c r="BM53" s="1066"/>
    </row>
    <row r="54" spans="1:67" ht="15" customHeight="1" x14ac:dyDescent="0.3">
      <c r="A54" s="19" t="s">
        <v>9</v>
      </c>
      <c r="C54" s="280"/>
      <c r="D54" s="259"/>
      <c r="E54" s="259"/>
      <c r="F54" s="259"/>
      <c r="G54" s="259"/>
      <c r="H54" s="261"/>
      <c r="I54" s="263"/>
      <c r="J54" s="263"/>
      <c r="K54" s="259"/>
      <c r="L54" s="259"/>
      <c r="M54" s="261"/>
      <c r="N54" s="259"/>
      <c r="O54" s="259"/>
      <c r="P54" s="263"/>
      <c r="Q54" s="259"/>
      <c r="R54" s="259"/>
      <c r="S54" s="263"/>
      <c r="T54" s="140"/>
      <c r="U54" s="259"/>
      <c r="V54" s="261"/>
      <c r="W54" s="261"/>
      <c r="X54" s="261"/>
      <c r="Y54" s="261"/>
      <c r="Z54" s="259"/>
      <c r="AA54" s="259"/>
      <c r="AB54" s="263"/>
      <c r="AC54" s="259"/>
      <c r="AD54" s="208"/>
      <c r="AE54" s="259"/>
      <c r="AF54" s="263"/>
      <c r="AG54" s="259"/>
      <c r="AH54" s="263"/>
      <c r="AI54" s="263"/>
      <c r="AJ54" s="209"/>
      <c r="AK54" s="261"/>
      <c r="AL54" s="273"/>
      <c r="AM54" s="240" t="s">
        <v>9</v>
      </c>
      <c r="AN54" s="315"/>
      <c r="AO54" s="316"/>
      <c r="AP54" s="316"/>
      <c r="AQ54" s="316"/>
      <c r="AR54" s="317"/>
      <c r="AS54" s="1019"/>
      <c r="AT54" s="1020"/>
      <c r="AU54" s="989"/>
      <c r="AV54" s="990"/>
      <c r="AW54" s="933"/>
      <c r="AX54" s="1135"/>
      <c r="AY54" s="1136"/>
      <c r="AZ54" s="933"/>
      <c r="BA54" s="1135"/>
      <c r="BB54" s="1140"/>
      <c r="BC54" s="935"/>
      <c r="BD54" s="1135"/>
      <c r="BE54" s="1145"/>
      <c r="BF54" s="1148"/>
      <c r="BG54" s="1135"/>
      <c r="BH54" s="1136"/>
      <c r="BI54" s="933"/>
      <c r="BJ54" s="1062"/>
      <c r="BK54" s="1063"/>
      <c r="BL54" s="933"/>
      <c r="BM54" s="1067"/>
    </row>
    <row r="55" spans="1:67" ht="30" customHeight="1" x14ac:dyDescent="0.3">
      <c r="A55" s="6" t="s">
        <v>10</v>
      </c>
      <c r="C55" s="281">
        <v>15.070278184480234</v>
      </c>
      <c r="D55" s="265">
        <v>25</v>
      </c>
      <c r="E55" s="265">
        <v>34.922977346278316</v>
      </c>
      <c r="F55" s="266">
        <v>38.219381443299</v>
      </c>
      <c r="G55" s="266">
        <v>61.253132832080198</v>
      </c>
      <c r="H55" s="389">
        <v>23</v>
      </c>
      <c r="I55" s="390">
        <v>36.812297734627798</v>
      </c>
      <c r="J55" s="265">
        <v>51.694951664876477</v>
      </c>
      <c r="K55" s="265">
        <v>63.945578231292515</v>
      </c>
      <c r="L55" s="266">
        <v>33.956288659793813</v>
      </c>
      <c r="M55" s="266">
        <v>12.38653001464129</v>
      </c>
      <c r="N55" s="265">
        <v>56.945220193340496</v>
      </c>
      <c r="O55" s="266">
        <v>40.933608247422683</v>
      </c>
      <c r="P55" s="265">
        <v>21.401171303074673</v>
      </c>
      <c r="Q55" s="265">
        <v>18.739158576051778</v>
      </c>
      <c r="R55" s="265">
        <v>11.308270676691729</v>
      </c>
      <c r="S55" s="265">
        <v>31.150809061488673</v>
      </c>
      <c r="T55" s="203"/>
      <c r="U55" s="265">
        <v>49.271750805585391</v>
      </c>
      <c r="V55" s="266">
        <v>40.003298969072169</v>
      </c>
      <c r="W55" s="266"/>
      <c r="X55" s="266"/>
      <c r="Y55" s="266"/>
      <c r="Z55" s="265">
        <v>38</v>
      </c>
      <c r="AA55" s="265">
        <v>45.144336569579288</v>
      </c>
      <c r="AB55" s="265">
        <v>69.195846759756535</v>
      </c>
      <c r="AC55" s="384">
        <v>64.349445041174363</v>
      </c>
      <c r="AD55" s="266"/>
      <c r="AE55" s="266">
        <v>11.308270676691729</v>
      </c>
      <c r="AF55" s="265">
        <v>40</v>
      </c>
      <c r="AG55" s="265">
        <v>59.77228786251343</v>
      </c>
      <c r="AH55" s="265">
        <v>75.868600071607602</v>
      </c>
      <c r="AI55" s="265">
        <v>45.120000000000005</v>
      </c>
      <c r="AJ55" s="216"/>
      <c r="AK55" s="266">
        <v>13.281112737920937</v>
      </c>
      <c r="AL55" s="394">
        <v>25.73855670103093</v>
      </c>
      <c r="AM55" s="241" t="s">
        <v>10</v>
      </c>
      <c r="AN55" s="318"/>
      <c r="AO55" s="309"/>
      <c r="AP55" s="310"/>
      <c r="AQ55" s="319"/>
      <c r="AR55" s="312"/>
      <c r="AS55" s="1019"/>
      <c r="AT55" s="1020"/>
      <c r="AU55" s="991"/>
      <c r="AV55" s="992"/>
      <c r="AW55" s="934"/>
      <c r="AX55" s="1137"/>
      <c r="AY55" s="1138"/>
      <c r="AZ55" s="934"/>
      <c r="BA55" s="1137"/>
      <c r="BB55" s="1141"/>
      <c r="BC55" s="936"/>
      <c r="BD55" s="1137"/>
      <c r="BE55" s="1146"/>
      <c r="BF55" s="1149"/>
      <c r="BG55" s="1137"/>
      <c r="BH55" s="1138"/>
      <c r="BI55" s="934"/>
      <c r="BJ55" s="1064"/>
      <c r="BK55" s="1065"/>
      <c r="BL55" s="934"/>
      <c r="BM55" s="1068"/>
    </row>
    <row r="56" spans="1:67" ht="15" customHeight="1" x14ac:dyDescent="0.3">
      <c r="A56" s="6" t="s">
        <v>102</v>
      </c>
      <c r="C56" s="467"/>
      <c r="D56" s="496"/>
      <c r="E56" s="265"/>
      <c r="F56" s="341"/>
      <c r="G56" s="266"/>
      <c r="H56" s="341"/>
      <c r="I56" s="344"/>
      <c r="J56" s="344"/>
      <c r="K56" s="344"/>
      <c r="L56" s="341"/>
      <c r="M56" s="341"/>
      <c r="N56" s="265"/>
      <c r="O56" s="341"/>
      <c r="P56" s="265"/>
      <c r="Q56" s="265"/>
      <c r="R56" s="265"/>
      <c r="S56" s="344"/>
      <c r="T56" s="341"/>
      <c r="U56" s="265"/>
      <c r="V56" s="266"/>
      <c r="W56" s="266"/>
      <c r="X56" s="266"/>
      <c r="Y56" s="266"/>
      <c r="Z56" s="344"/>
      <c r="AA56" s="344"/>
      <c r="AB56" s="344"/>
      <c r="AC56" s="344"/>
      <c r="AD56" s="344"/>
      <c r="AE56" s="341"/>
      <c r="AF56" s="265"/>
      <c r="AG56" s="265"/>
      <c r="AH56" s="265"/>
      <c r="AI56" s="265"/>
      <c r="AJ56" s="217"/>
      <c r="AK56" s="341"/>
      <c r="AL56" s="274"/>
      <c r="AM56" s="241" t="s">
        <v>102</v>
      </c>
      <c r="AN56" s="308"/>
      <c r="AO56" s="309"/>
      <c r="AP56" s="310"/>
      <c r="AQ56" s="310"/>
      <c r="AR56" s="314"/>
      <c r="AS56" s="1019"/>
      <c r="AT56" s="1020"/>
      <c r="AU56" s="938" t="s">
        <v>259</v>
      </c>
      <c r="AV56" s="939"/>
      <c r="AW56" s="940" t="s">
        <v>265</v>
      </c>
      <c r="AX56" s="1070">
        <v>7535</v>
      </c>
      <c r="AY56" s="1071"/>
      <c r="AZ56" s="940" t="s">
        <v>267</v>
      </c>
      <c r="BA56" s="1070">
        <v>535.08199999999999</v>
      </c>
      <c r="BB56" s="1078"/>
      <c r="BC56" s="983" t="s">
        <v>269</v>
      </c>
      <c r="BD56" s="1070">
        <v>0</v>
      </c>
      <c r="BE56" s="1081"/>
      <c r="BF56" s="1083" t="s">
        <v>271</v>
      </c>
      <c r="BG56" s="1070">
        <f>BA56+BD56</f>
        <v>535.08199999999999</v>
      </c>
      <c r="BH56" s="1071"/>
      <c r="BI56" s="940" t="s">
        <v>262</v>
      </c>
      <c r="BJ56" s="1085">
        <f>IFERROR(BG56/AX56,"")</f>
        <v>7.1012873258128731E-2</v>
      </c>
      <c r="BK56" s="1086"/>
      <c r="BL56" s="940" t="s">
        <v>263</v>
      </c>
      <c r="BM56" s="1074"/>
    </row>
    <row r="57" spans="1:67" ht="15" customHeight="1" x14ac:dyDescent="0.3">
      <c r="A57" s="19" t="s">
        <v>11</v>
      </c>
      <c r="C57" s="495"/>
      <c r="D57" s="497"/>
      <c r="E57" s="447"/>
      <c r="F57" s="286"/>
      <c r="G57" s="286"/>
      <c r="H57" s="286"/>
      <c r="I57" s="286"/>
      <c r="J57" s="267"/>
      <c r="K57" s="286"/>
      <c r="L57" s="286"/>
      <c r="M57" s="286"/>
      <c r="N57" s="286"/>
      <c r="O57" s="264"/>
      <c r="P57" s="286"/>
      <c r="Q57" s="286"/>
      <c r="R57" s="286"/>
      <c r="S57" s="267"/>
      <c r="T57" s="286"/>
      <c r="U57" s="286"/>
      <c r="V57" s="286"/>
      <c r="W57" s="286"/>
      <c r="X57" s="286"/>
      <c r="Y57" s="286"/>
      <c r="Z57" s="352"/>
      <c r="AA57" s="286"/>
      <c r="AB57" s="286"/>
      <c r="AC57" s="286"/>
      <c r="AD57" s="264"/>
      <c r="AE57" s="264"/>
      <c r="AF57" s="286"/>
      <c r="AG57" s="286"/>
      <c r="AH57" s="485"/>
      <c r="AI57" s="286"/>
      <c r="AJ57" s="264"/>
      <c r="AK57" s="264"/>
      <c r="AL57" s="276"/>
      <c r="AM57" s="240" t="s">
        <v>11</v>
      </c>
      <c r="AN57" s="281">
        <v>16</v>
      </c>
      <c r="AO57" s="262">
        <v>119</v>
      </c>
      <c r="AP57" s="316"/>
      <c r="AQ57" s="316"/>
      <c r="AR57" s="288">
        <v>38</v>
      </c>
      <c r="AS57" s="1019"/>
      <c r="AT57" s="1020"/>
      <c r="AU57" s="938"/>
      <c r="AV57" s="939"/>
      <c r="AW57" s="940"/>
      <c r="AX57" s="1070"/>
      <c r="AY57" s="1071"/>
      <c r="AZ57" s="940"/>
      <c r="BA57" s="1070"/>
      <c r="BB57" s="1078"/>
      <c r="BC57" s="983"/>
      <c r="BD57" s="1070"/>
      <c r="BE57" s="1081"/>
      <c r="BF57" s="1083"/>
      <c r="BG57" s="1070"/>
      <c r="BH57" s="1071"/>
      <c r="BI57" s="940"/>
      <c r="BJ57" s="1085"/>
      <c r="BK57" s="1086"/>
      <c r="BL57" s="940"/>
      <c r="BM57" s="1074"/>
    </row>
    <row r="58" spans="1:67" ht="30" customHeight="1" x14ac:dyDescent="0.3">
      <c r="A58" s="6" t="s">
        <v>12</v>
      </c>
      <c r="C58" s="492">
        <v>25.651537335285507</v>
      </c>
      <c r="D58" s="344">
        <v>33</v>
      </c>
      <c r="E58" s="493">
        <v>29.721682847896442</v>
      </c>
      <c r="F58" s="266">
        <v>34.016494845360803</v>
      </c>
      <c r="G58" s="389">
        <v>52.130325814536342</v>
      </c>
      <c r="H58" s="266">
        <v>27</v>
      </c>
      <c r="I58" s="265">
        <v>36</v>
      </c>
      <c r="J58" s="265">
        <v>43.995703544575726</v>
      </c>
      <c r="K58" s="265">
        <v>54.421768707482997</v>
      </c>
      <c r="L58" s="266">
        <v>28.898969072164949</v>
      </c>
      <c r="M58" s="389">
        <v>21.083455344070281</v>
      </c>
      <c r="N58" s="390">
        <v>48.464017185821696</v>
      </c>
      <c r="O58" s="389">
        <v>34.83711340206186</v>
      </c>
      <c r="P58" s="265">
        <v>36.427525622254763</v>
      </c>
      <c r="Q58" s="265">
        <v>15.94822006472492</v>
      </c>
      <c r="R58" s="265">
        <v>9.6240601503759393</v>
      </c>
      <c r="S58" s="265">
        <v>26.511326860841425</v>
      </c>
      <c r="T58" s="266">
        <v>23.22951605174892</v>
      </c>
      <c r="U58" s="265">
        <v>41.933404940923737</v>
      </c>
      <c r="V58" s="266">
        <v>34.045360824742268</v>
      </c>
      <c r="W58" s="266"/>
      <c r="X58" s="266"/>
      <c r="Y58" s="266"/>
      <c r="Z58" s="344">
        <v>32</v>
      </c>
      <c r="AA58" s="265">
        <v>38.420711974110034</v>
      </c>
      <c r="AB58" s="265">
        <v>58.890082348728967</v>
      </c>
      <c r="AC58" s="265">
        <v>54.765485141424989</v>
      </c>
      <c r="AD58" s="266">
        <v>14.259702922855773</v>
      </c>
      <c r="AE58" s="389">
        <v>9.6240601503759393</v>
      </c>
      <c r="AF58" s="390">
        <v>41</v>
      </c>
      <c r="AG58" s="389">
        <v>50.870032223415684</v>
      </c>
      <c r="AH58" s="344">
        <v>5</v>
      </c>
      <c r="AI58" s="490">
        <v>38.4</v>
      </c>
      <c r="AJ58" s="384">
        <v>9.1743119266055047</v>
      </c>
      <c r="AK58" s="389">
        <v>22.606149341142022</v>
      </c>
      <c r="AL58" s="394">
        <v>21.905154639175258</v>
      </c>
      <c r="AM58" s="241" t="s">
        <v>12</v>
      </c>
      <c r="AN58" s="283">
        <v>21</v>
      </c>
      <c r="AO58" s="267">
        <v>23</v>
      </c>
      <c r="AP58" s="310"/>
      <c r="AQ58" s="319"/>
      <c r="AR58" s="274">
        <v>12</v>
      </c>
      <c r="AS58" s="1019"/>
      <c r="AT58" s="1020"/>
      <c r="AU58" s="1052"/>
      <c r="AV58" s="1053"/>
      <c r="AW58" s="1069"/>
      <c r="AX58" s="1072"/>
      <c r="AY58" s="1073"/>
      <c r="AZ58" s="1069"/>
      <c r="BA58" s="1072"/>
      <c r="BB58" s="1093"/>
      <c r="BC58" s="1080"/>
      <c r="BD58" s="1072"/>
      <c r="BE58" s="1090"/>
      <c r="BF58" s="1084"/>
      <c r="BG58" s="1072"/>
      <c r="BH58" s="1073"/>
      <c r="BI58" s="1069"/>
      <c r="BJ58" s="1091"/>
      <c r="BK58" s="1092"/>
      <c r="BL58" s="1069"/>
      <c r="BM58" s="1075"/>
      <c r="BO58" s="450"/>
    </row>
    <row r="59" spans="1:67" ht="15" customHeight="1" x14ac:dyDescent="0.3">
      <c r="A59" s="6" t="s">
        <v>103</v>
      </c>
      <c r="C59" s="467"/>
      <c r="D59" s="494"/>
      <c r="E59" s="344"/>
      <c r="F59" s="468"/>
      <c r="G59" s="266"/>
      <c r="H59" s="341"/>
      <c r="I59" s="344"/>
      <c r="J59" s="265"/>
      <c r="K59" s="344"/>
      <c r="L59" s="266"/>
      <c r="M59" s="266"/>
      <c r="N59" s="265"/>
      <c r="O59" s="266"/>
      <c r="P59" s="265"/>
      <c r="Q59" s="344"/>
      <c r="R59" s="265"/>
      <c r="S59" s="344"/>
      <c r="T59" s="341"/>
      <c r="U59" s="344"/>
      <c r="V59" s="341"/>
      <c r="W59" s="341"/>
      <c r="X59" s="341"/>
      <c r="Y59" s="341"/>
      <c r="Z59" s="344"/>
      <c r="AA59" s="344"/>
      <c r="AB59" s="265"/>
      <c r="AC59" s="341"/>
      <c r="AD59" s="341"/>
      <c r="AE59" s="266"/>
      <c r="AF59" s="344"/>
      <c r="AG59" s="265"/>
      <c r="AH59" s="488"/>
      <c r="AI59" s="488"/>
      <c r="AJ59" s="489"/>
      <c r="AK59" s="457"/>
      <c r="AL59" s="274"/>
      <c r="AM59" s="241" t="s">
        <v>103</v>
      </c>
      <c r="AN59" s="283"/>
      <c r="AO59" s="267"/>
      <c r="AP59" s="310"/>
      <c r="AQ59" s="310"/>
      <c r="AR59" s="288"/>
      <c r="AS59" s="1019"/>
      <c r="AT59" s="1020"/>
      <c r="AU59" s="938" t="s">
        <v>260</v>
      </c>
      <c r="AV59" s="939"/>
      <c r="AW59" s="940" t="s">
        <v>265</v>
      </c>
      <c r="AX59" s="1070">
        <v>1411</v>
      </c>
      <c r="AY59" s="1071"/>
      <c r="AZ59" s="940" t="s">
        <v>267</v>
      </c>
      <c r="BA59" s="1070">
        <v>190</v>
      </c>
      <c r="BB59" s="1078"/>
      <c r="BC59" s="983" t="s">
        <v>269</v>
      </c>
      <c r="BD59" s="1070">
        <v>0</v>
      </c>
      <c r="BE59" s="1081"/>
      <c r="BF59" s="1083" t="s">
        <v>271</v>
      </c>
      <c r="BG59" s="1070">
        <f t="shared" ref="BG59" si="0">BA59+BD59</f>
        <v>190</v>
      </c>
      <c r="BH59" s="1071"/>
      <c r="BI59" s="940" t="s">
        <v>262</v>
      </c>
      <c r="BJ59" s="1085">
        <f>IFERROR(BG59/AX59,"")</f>
        <v>0.13465627214741319</v>
      </c>
      <c r="BK59" s="1086"/>
      <c r="BL59" s="940" t="s">
        <v>263</v>
      </c>
      <c r="BM59" s="1074"/>
    </row>
    <row r="60" spans="1:67" ht="15" customHeight="1" x14ac:dyDescent="0.3">
      <c r="A60" s="19" t="s">
        <v>13</v>
      </c>
      <c r="C60" s="282"/>
      <c r="D60" s="352"/>
      <c r="E60" s="445"/>
      <c r="F60" s="352"/>
      <c r="G60" s="447"/>
      <c r="H60" s="286"/>
      <c r="I60" s="485"/>
      <c r="J60" s="265"/>
      <c r="K60" s="286"/>
      <c r="L60" s="286"/>
      <c r="M60" s="286"/>
      <c r="N60" s="286"/>
      <c r="O60" s="286"/>
      <c r="P60" s="265"/>
      <c r="Q60" s="286"/>
      <c r="R60" s="265"/>
      <c r="S60" s="286"/>
      <c r="T60" s="286"/>
      <c r="U60" s="286"/>
      <c r="V60" s="286"/>
      <c r="W60" s="286"/>
      <c r="X60" s="286"/>
      <c r="Y60" s="286"/>
      <c r="Z60" s="352"/>
      <c r="AA60" s="286"/>
      <c r="AB60" s="286"/>
      <c r="AC60" s="286"/>
      <c r="AD60" s="266"/>
      <c r="AE60" s="286"/>
      <c r="AF60" s="286"/>
      <c r="AG60" s="445"/>
      <c r="AH60" s="352"/>
      <c r="AI60" s="491"/>
      <c r="AJ60" s="474"/>
      <c r="AK60" s="286"/>
      <c r="AL60" s="289"/>
      <c r="AM60" s="240" t="s">
        <v>13</v>
      </c>
      <c r="AN60" s="282"/>
      <c r="AO60" s="286"/>
      <c r="AP60" s="316"/>
      <c r="AQ60" s="316"/>
      <c r="AR60" s="273"/>
      <c r="AS60" s="1019"/>
      <c r="AT60" s="1020"/>
      <c r="AU60" s="938"/>
      <c r="AV60" s="939"/>
      <c r="AW60" s="940"/>
      <c r="AX60" s="1070"/>
      <c r="AY60" s="1071"/>
      <c r="AZ60" s="940"/>
      <c r="BA60" s="1070"/>
      <c r="BB60" s="1078"/>
      <c r="BC60" s="983"/>
      <c r="BD60" s="1070"/>
      <c r="BE60" s="1081"/>
      <c r="BF60" s="1083"/>
      <c r="BG60" s="1070"/>
      <c r="BH60" s="1071"/>
      <c r="BI60" s="940"/>
      <c r="BJ60" s="1085"/>
      <c r="BK60" s="1086"/>
      <c r="BL60" s="940"/>
      <c r="BM60" s="1074"/>
    </row>
    <row r="61" spans="1:67" ht="30" customHeight="1" x14ac:dyDescent="0.3">
      <c r="A61" s="63" t="s">
        <v>14</v>
      </c>
      <c r="C61" s="283">
        <v>27.896046852122989</v>
      </c>
      <c r="D61" s="340">
        <v>51</v>
      </c>
      <c r="E61" s="264">
        <v>32.322330097087374</v>
      </c>
      <c r="F61" s="340">
        <f>16+12</f>
        <v>28</v>
      </c>
      <c r="G61" s="448">
        <v>56.691729323308273</v>
      </c>
      <c r="H61" s="264">
        <v>21</v>
      </c>
      <c r="I61" s="340">
        <v>29</v>
      </c>
      <c r="J61" s="478">
        <v>47.845327604726101</v>
      </c>
      <c r="K61" s="385">
        <v>59.183673469387756</v>
      </c>
      <c r="L61" s="386">
        <v>31.427628865979383</v>
      </c>
      <c r="M61" s="386">
        <v>22.928257686676428</v>
      </c>
      <c r="N61" s="267">
        <v>52.704618689581096</v>
      </c>
      <c r="O61" s="264">
        <v>37.885360824742271</v>
      </c>
      <c r="P61" s="267">
        <v>39.61493411420205</v>
      </c>
      <c r="Q61" s="267">
        <v>17.34368932038835</v>
      </c>
      <c r="R61" s="267">
        <v>10.466165413533835</v>
      </c>
      <c r="S61" s="267">
        <v>28.831067961165047</v>
      </c>
      <c r="T61" s="386">
        <v>50.524197412553903</v>
      </c>
      <c r="U61" s="385">
        <v>45.602577873254567</v>
      </c>
      <c r="V61" s="386">
        <v>37.024329896907219</v>
      </c>
      <c r="W61" s="386"/>
      <c r="X61" s="386"/>
      <c r="Y61" s="386"/>
      <c r="Z61" s="340">
        <v>33</v>
      </c>
      <c r="AA61" s="384">
        <v>41.782524271844657</v>
      </c>
      <c r="AB61" s="267">
        <v>64.042964554242744</v>
      </c>
      <c r="AC61" s="267">
        <v>59.557465091299676</v>
      </c>
      <c r="AD61" s="264">
        <v>31.014853857211307</v>
      </c>
      <c r="AE61" s="386">
        <v>10.466165413533835</v>
      </c>
      <c r="AF61" s="267">
        <v>42</v>
      </c>
      <c r="AG61" s="264">
        <v>55.321160042964557</v>
      </c>
      <c r="AH61" s="340">
        <v>36.708199069101397</v>
      </c>
      <c r="AI61" s="449">
        <v>41.760000000000005</v>
      </c>
      <c r="AJ61" s="340">
        <v>3</v>
      </c>
      <c r="AK61" s="448">
        <v>24.58418740849195</v>
      </c>
      <c r="AL61" s="383">
        <v>23.821855670103094</v>
      </c>
      <c r="AM61" s="242" t="s">
        <v>14</v>
      </c>
      <c r="AN61" s="283">
        <v>29</v>
      </c>
      <c r="AO61" s="267">
        <v>45</v>
      </c>
      <c r="AP61" s="321"/>
      <c r="AQ61" s="322"/>
      <c r="AR61" s="276">
        <v>23</v>
      </c>
      <c r="AS61" s="1019"/>
      <c r="AT61" s="1020"/>
      <c r="AU61" s="1052"/>
      <c r="AV61" s="1053"/>
      <c r="AW61" s="1069"/>
      <c r="AX61" s="1072"/>
      <c r="AY61" s="1073"/>
      <c r="AZ61" s="1069"/>
      <c r="BA61" s="1072"/>
      <c r="BB61" s="1093"/>
      <c r="BC61" s="1080"/>
      <c r="BD61" s="1072"/>
      <c r="BE61" s="1090"/>
      <c r="BF61" s="1084"/>
      <c r="BG61" s="1072"/>
      <c r="BH61" s="1073"/>
      <c r="BI61" s="1069"/>
      <c r="BJ61" s="1091"/>
      <c r="BK61" s="1092"/>
      <c r="BL61" s="1069"/>
      <c r="BM61" s="1075"/>
      <c r="BO61" s="450"/>
    </row>
    <row r="62" spans="1:67" ht="15" customHeight="1" x14ac:dyDescent="0.3">
      <c r="A62" s="63" t="s">
        <v>104</v>
      </c>
      <c r="C62" s="469"/>
      <c r="D62" s="340"/>
      <c r="E62" s="342"/>
      <c r="F62" s="340"/>
      <c r="G62" s="449"/>
      <c r="H62" s="264"/>
      <c r="I62" s="471"/>
      <c r="J62" s="267"/>
      <c r="K62" s="267"/>
      <c r="L62" s="264"/>
      <c r="M62" s="264"/>
      <c r="N62" s="267"/>
      <c r="O62" s="264"/>
      <c r="P62" s="340"/>
      <c r="Q62" s="340"/>
      <c r="R62" s="340"/>
      <c r="S62" s="453"/>
      <c r="T62" s="264"/>
      <c r="U62" s="453"/>
      <c r="V62" s="264"/>
      <c r="W62" s="264"/>
      <c r="X62" s="264"/>
      <c r="Y62" s="264"/>
      <c r="Z62" s="340"/>
      <c r="AA62" s="267"/>
      <c r="AB62" s="267"/>
      <c r="AC62" s="267"/>
      <c r="AD62" s="264"/>
      <c r="AE62" s="264"/>
      <c r="AF62" s="340"/>
      <c r="AG62" s="340"/>
      <c r="AH62" s="479"/>
      <c r="AI62" s="267"/>
      <c r="AJ62" s="486"/>
      <c r="AK62" s="234"/>
      <c r="AL62" s="396"/>
      <c r="AM62" s="242" t="s">
        <v>104</v>
      </c>
      <c r="AN62" s="283"/>
      <c r="AO62" s="267"/>
      <c r="AP62" s="323"/>
      <c r="AQ62" s="320"/>
      <c r="AR62" s="277"/>
      <c r="AS62" s="1019"/>
      <c r="AT62" s="1020"/>
      <c r="AU62" s="938" t="s">
        <v>261</v>
      </c>
      <c r="AV62" s="939"/>
      <c r="AW62" s="940" t="s">
        <v>265</v>
      </c>
      <c r="AX62" s="1070">
        <v>542</v>
      </c>
      <c r="AY62" s="1071"/>
      <c r="AZ62" s="940" t="s">
        <v>267</v>
      </c>
      <c r="BA62" s="1070">
        <v>0</v>
      </c>
      <c r="BB62" s="1078"/>
      <c r="BC62" s="983" t="s">
        <v>269</v>
      </c>
      <c r="BD62" s="1070">
        <v>0</v>
      </c>
      <c r="BE62" s="1081"/>
      <c r="BF62" s="1083" t="s">
        <v>271</v>
      </c>
      <c r="BG62" s="1070">
        <f t="shared" ref="BG62" si="1">BA62+BD62</f>
        <v>0</v>
      </c>
      <c r="BH62" s="1071"/>
      <c r="BI62" s="940" t="s">
        <v>262</v>
      </c>
      <c r="BJ62" s="1085">
        <f>IFERROR(BG62/AX62,"")</f>
        <v>0</v>
      </c>
      <c r="BK62" s="1086"/>
      <c r="BL62" s="940" t="s">
        <v>263</v>
      </c>
      <c r="BM62" s="1074"/>
    </row>
    <row r="63" spans="1:67" ht="15" customHeight="1" x14ac:dyDescent="0.3">
      <c r="A63" s="67" t="s">
        <v>15</v>
      </c>
      <c r="C63" s="282"/>
      <c r="D63" s="352"/>
      <c r="E63" s="446"/>
      <c r="F63" s="352"/>
      <c r="G63" s="447"/>
      <c r="H63" s="286"/>
      <c r="I63" s="286"/>
      <c r="J63" s="267"/>
      <c r="K63" s="267"/>
      <c r="L63" s="286"/>
      <c r="M63" s="286"/>
      <c r="N63" s="286"/>
      <c r="O63" s="286"/>
      <c r="P63" s="286"/>
      <c r="Q63" s="267"/>
      <c r="R63" s="286"/>
      <c r="S63" s="286"/>
      <c r="T63" s="286"/>
      <c r="U63" s="286"/>
      <c r="V63" s="286"/>
      <c r="W63" s="286"/>
      <c r="X63" s="286"/>
      <c r="Y63" s="286"/>
      <c r="Z63" s="352"/>
      <c r="AA63" s="286"/>
      <c r="AB63" s="286"/>
      <c r="AC63" s="286"/>
      <c r="AD63" s="264"/>
      <c r="AE63" s="286"/>
      <c r="AF63" s="340"/>
      <c r="AG63" s="445"/>
      <c r="AH63" s="352"/>
      <c r="AI63" s="454"/>
      <c r="AJ63" s="352"/>
      <c r="AK63" s="447"/>
      <c r="AL63" s="289"/>
      <c r="AM63" s="243" t="s">
        <v>15</v>
      </c>
      <c r="AN63" s="282"/>
      <c r="AO63" s="286"/>
      <c r="AP63" s="316"/>
      <c r="AQ63" s="316"/>
      <c r="AR63" s="273"/>
      <c r="AS63" s="1019"/>
      <c r="AT63" s="1020"/>
      <c r="AU63" s="938"/>
      <c r="AV63" s="939"/>
      <c r="AW63" s="940"/>
      <c r="AX63" s="1070"/>
      <c r="AY63" s="1071"/>
      <c r="AZ63" s="940"/>
      <c r="BA63" s="1070"/>
      <c r="BB63" s="1078"/>
      <c r="BC63" s="983"/>
      <c r="BD63" s="1070"/>
      <c r="BE63" s="1081"/>
      <c r="BF63" s="1083"/>
      <c r="BG63" s="1070"/>
      <c r="BH63" s="1071"/>
      <c r="BI63" s="940"/>
      <c r="BJ63" s="1085"/>
      <c r="BK63" s="1086"/>
      <c r="BL63" s="940"/>
      <c r="BM63" s="1074"/>
    </row>
    <row r="64" spans="1:67" ht="30" customHeight="1" thickBot="1" x14ac:dyDescent="0.35">
      <c r="A64" s="63" t="s">
        <v>16</v>
      </c>
      <c r="C64" s="283">
        <v>28.056368960468518</v>
      </c>
      <c r="D64" s="340">
        <v>22</v>
      </c>
      <c r="E64" s="342">
        <v>23</v>
      </c>
      <c r="F64" s="340">
        <f>16+11</f>
        <v>27</v>
      </c>
      <c r="G64" s="448">
        <v>57.017543859649116</v>
      </c>
      <c r="H64" s="386">
        <v>13.195461200585651</v>
      </c>
      <c r="I64" s="385">
        <v>55</v>
      </c>
      <c r="J64" s="385">
        <v>48.120300751879697</v>
      </c>
      <c r="K64" s="385">
        <v>59.523809523809518</v>
      </c>
      <c r="L64" s="386">
        <v>31.60824742268041</v>
      </c>
      <c r="M64" s="264">
        <v>23.060029282576863</v>
      </c>
      <c r="N64" s="385">
        <v>53.007518796992478</v>
      </c>
      <c r="O64" s="264">
        <v>38.103092783505154</v>
      </c>
      <c r="P64" s="385">
        <v>39.842606149341137</v>
      </c>
      <c r="Q64" s="385">
        <v>17.443365695792881</v>
      </c>
      <c r="R64" s="385">
        <v>10.526315789473683</v>
      </c>
      <c r="S64" s="267">
        <v>28.996763754045308</v>
      </c>
      <c r="T64" s="264">
        <v>50.814566363200768</v>
      </c>
      <c r="U64" s="267">
        <v>45.864661654135332</v>
      </c>
      <c r="V64" s="264">
        <v>37.237113402061851</v>
      </c>
      <c r="W64" s="264"/>
      <c r="X64" s="264"/>
      <c r="Y64" s="264"/>
      <c r="Z64" s="340">
        <v>34</v>
      </c>
      <c r="AA64" s="267">
        <v>42.02265372168285</v>
      </c>
      <c r="AB64" s="267">
        <v>64.411027568922307</v>
      </c>
      <c r="AC64" s="267">
        <v>59.899749373433579</v>
      </c>
      <c r="AD64" s="384">
        <v>31.193100143747003</v>
      </c>
      <c r="AE64" s="384">
        <v>10.526315789473683</v>
      </c>
      <c r="AF64" s="340">
        <v>34</v>
      </c>
      <c r="AG64" s="264">
        <v>55.639097744360896</v>
      </c>
      <c r="AH64" s="340">
        <v>42</v>
      </c>
      <c r="AI64" s="449">
        <v>41.999999999999993</v>
      </c>
      <c r="AJ64" s="340">
        <v>16.068807339449499</v>
      </c>
      <c r="AK64" s="473">
        <v>24.725475841874083</v>
      </c>
      <c r="AL64" s="276">
        <v>23.958762886597935</v>
      </c>
      <c r="AM64" s="242" t="s">
        <v>16</v>
      </c>
      <c r="AN64" s="283">
        <v>25</v>
      </c>
      <c r="AO64" s="267">
        <v>36</v>
      </c>
      <c r="AP64" s="321"/>
      <c r="AQ64" s="322"/>
      <c r="AR64" s="276">
        <v>19</v>
      </c>
      <c r="AS64" s="1021"/>
      <c r="AT64" s="1022"/>
      <c r="AU64" s="985"/>
      <c r="AV64" s="986"/>
      <c r="AW64" s="1069"/>
      <c r="AX64" s="1076"/>
      <c r="AY64" s="1077"/>
      <c r="AZ64" s="1069"/>
      <c r="BA64" s="1076"/>
      <c r="BB64" s="1079"/>
      <c r="BC64" s="1080"/>
      <c r="BD64" s="1076"/>
      <c r="BE64" s="1082"/>
      <c r="BF64" s="1084"/>
      <c r="BG64" s="1076"/>
      <c r="BH64" s="1077"/>
      <c r="BI64" s="1069"/>
      <c r="BJ64" s="1087"/>
      <c r="BK64" s="1088"/>
      <c r="BL64" s="1069"/>
      <c r="BM64" s="1089"/>
    </row>
    <row r="65" spans="1:65" ht="15" customHeight="1" x14ac:dyDescent="0.3">
      <c r="A65" s="63" t="s">
        <v>105</v>
      </c>
      <c r="C65" s="469"/>
      <c r="D65" s="340"/>
      <c r="E65" s="340"/>
      <c r="F65" s="470"/>
      <c r="G65" s="264"/>
      <c r="H65" s="264"/>
      <c r="I65" s="267"/>
      <c r="J65" s="267"/>
      <c r="K65" s="267"/>
      <c r="L65" s="264"/>
      <c r="M65" s="264"/>
      <c r="N65" s="267"/>
      <c r="O65" s="264"/>
      <c r="P65" s="267"/>
      <c r="Q65" s="267"/>
      <c r="R65" s="267"/>
      <c r="S65" s="267"/>
      <c r="T65" s="264"/>
      <c r="U65" s="267"/>
      <c r="V65" s="264"/>
      <c r="W65" s="264"/>
      <c r="X65" s="264"/>
      <c r="Y65" s="264"/>
      <c r="Z65" s="340"/>
      <c r="AA65" s="267"/>
      <c r="AB65" s="267"/>
      <c r="AC65" s="267"/>
      <c r="AD65" s="264"/>
      <c r="AE65" s="264"/>
      <c r="AF65" s="340"/>
      <c r="AG65" s="267"/>
      <c r="AH65" s="471"/>
      <c r="AI65" s="267"/>
      <c r="AJ65" s="455"/>
      <c r="AK65" s="342"/>
      <c r="AL65" s="276"/>
      <c r="AM65" s="242" t="s">
        <v>105</v>
      </c>
      <c r="AN65" s="283"/>
      <c r="AO65" s="267"/>
      <c r="AP65" s="323"/>
      <c r="AQ65" s="320"/>
      <c r="AR65" s="277"/>
      <c r="AS65" s="1167" t="s">
        <v>258</v>
      </c>
      <c r="AT65" s="1018"/>
      <c r="AU65" s="1054" t="s">
        <v>272</v>
      </c>
      <c r="AV65" s="1055"/>
      <c r="AW65" s="1031" t="s">
        <v>265</v>
      </c>
      <c r="AX65" s="1150">
        <v>242</v>
      </c>
      <c r="AY65" s="1151"/>
      <c r="AZ65" s="1031" t="s">
        <v>267</v>
      </c>
      <c r="BA65" s="1150">
        <v>89</v>
      </c>
      <c r="BB65" s="1154"/>
      <c r="BC65" s="1156" t="s">
        <v>269</v>
      </c>
      <c r="BD65" s="1150">
        <v>0</v>
      </c>
      <c r="BE65" s="1158"/>
      <c r="BF65" s="1160" t="s">
        <v>271</v>
      </c>
      <c r="BG65" s="1150">
        <f t="shared" ref="BG65" si="2">BA65+BD65</f>
        <v>89</v>
      </c>
      <c r="BH65" s="1151"/>
      <c r="BI65" s="1031" t="s">
        <v>262</v>
      </c>
      <c r="BJ65" s="1094">
        <f>IFERROR(BG65/AX65,"")</f>
        <v>0.36776859504132231</v>
      </c>
      <c r="BK65" s="1095"/>
      <c r="BL65" s="1031" t="s">
        <v>263</v>
      </c>
      <c r="BM65" s="1098"/>
    </row>
    <row r="66" spans="1:65" ht="15" customHeight="1" x14ac:dyDescent="0.3">
      <c r="A66" s="67" t="s">
        <v>17</v>
      </c>
      <c r="C66" s="282"/>
      <c r="D66" s="352"/>
      <c r="E66" s="352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352"/>
      <c r="AA66" s="286"/>
      <c r="AB66" s="286"/>
      <c r="AC66" s="286"/>
      <c r="AD66" s="264"/>
      <c r="AE66" s="286"/>
      <c r="AF66" s="286"/>
      <c r="AG66" s="286"/>
      <c r="AH66" s="286"/>
      <c r="AI66" s="286"/>
      <c r="AJ66" s="264"/>
      <c r="AK66" s="286"/>
      <c r="AL66" s="289"/>
      <c r="AM66" s="243" t="s">
        <v>17</v>
      </c>
      <c r="AN66" s="282"/>
      <c r="AO66" s="286"/>
      <c r="AP66" s="316"/>
      <c r="AQ66" s="316"/>
      <c r="AR66" s="273"/>
      <c r="AS66" s="1019"/>
      <c r="AT66" s="1020"/>
      <c r="AU66" s="1056"/>
      <c r="AV66" s="1057"/>
      <c r="AW66" s="1032"/>
      <c r="AX66" s="1152"/>
      <c r="AY66" s="1153"/>
      <c r="AZ66" s="1032"/>
      <c r="BA66" s="1152"/>
      <c r="BB66" s="1155"/>
      <c r="BC66" s="1157"/>
      <c r="BD66" s="1152"/>
      <c r="BE66" s="1159"/>
      <c r="BF66" s="1161"/>
      <c r="BG66" s="1152"/>
      <c r="BH66" s="1153"/>
      <c r="BI66" s="1032"/>
      <c r="BJ66" s="1096"/>
      <c r="BK66" s="1097"/>
      <c r="BL66" s="1032"/>
      <c r="BM66" s="1099"/>
    </row>
    <row r="67" spans="1:65" ht="30" customHeight="1" x14ac:dyDescent="0.3">
      <c r="A67" s="101" t="s">
        <v>18</v>
      </c>
      <c r="C67" s="283">
        <v>18.597364568081993</v>
      </c>
      <c r="D67" s="340">
        <v>20</v>
      </c>
      <c r="E67" s="340">
        <v>24</v>
      </c>
      <c r="F67" s="264">
        <v>17.411958762886599</v>
      </c>
      <c r="G67" s="264">
        <v>37.794486215538846</v>
      </c>
      <c r="H67" s="264">
        <v>14</v>
      </c>
      <c r="I67" s="267">
        <v>55</v>
      </c>
      <c r="J67" s="267">
        <v>31.896885069817401</v>
      </c>
      <c r="K67" s="267">
        <v>39.455782312925173</v>
      </c>
      <c r="L67" s="264">
        <v>20.951752577319589</v>
      </c>
      <c r="M67" s="264">
        <v>15.285505124450951</v>
      </c>
      <c r="N67" s="267">
        <v>35.136412459720731</v>
      </c>
      <c r="O67" s="264">
        <v>25.256907216494845</v>
      </c>
      <c r="P67" s="267">
        <v>26.409956076134701</v>
      </c>
      <c r="Q67" s="267">
        <v>11.562459546925567</v>
      </c>
      <c r="R67" s="267">
        <v>6.9774436090225569</v>
      </c>
      <c r="S67" s="267">
        <v>19.220711974110031</v>
      </c>
      <c r="T67" s="264">
        <v>33.682798275035935</v>
      </c>
      <c r="U67" s="267">
        <v>30.40171858216971</v>
      </c>
      <c r="V67" s="264">
        <v>24.682886597938147</v>
      </c>
      <c r="W67" s="264"/>
      <c r="X67" s="264"/>
      <c r="Y67" s="264"/>
      <c r="Z67" s="340">
        <v>33</v>
      </c>
      <c r="AA67" s="267">
        <v>27.855016181229772</v>
      </c>
      <c r="AB67" s="384">
        <v>42.695309702828503</v>
      </c>
      <c r="AC67" s="267">
        <v>39.704976727533122</v>
      </c>
      <c r="AD67" s="264">
        <v>20.676569238140871</v>
      </c>
      <c r="AE67" s="264">
        <v>6.9774436090225569</v>
      </c>
      <c r="AF67" s="385">
        <v>41</v>
      </c>
      <c r="AG67" s="385">
        <v>36.880773361976374</v>
      </c>
      <c r="AH67" s="385">
        <v>38.791263873970642</v>
      </c>
      <c r="AI67" s="385">
        <v>27.84</v>
      </c>
      <c r="AJ67" s="386">
        <v>13.302752293577981</v>
      </c>
      <c r="AK67" s="264">
        <v>16.389458272327964</v>
      </c>
      <c r="AL67" s="276">
        <v>15.881237113402063</v>
      </c>
      <c r="AM67" s="244" t="s">
        <v>18</v>
      </c>
      <c r="AN67" s="283">
        <v>19</v>
      </c>
      <c r="AO67" s="267">
        <v>27</v>
      </c>
      <c r="AP67" s="321"/>
      <c r="AQ67" s="322"/>
      <c r="AR67" s="276">
        <v>14</v>
      </c>
      <c r="AS67" s="1019"/>
      <c r="AT67" s="1020"/>
      <c r="AU67" s="1056"/>
      <c r="AV67" s="1057"/>
      <c r="AW67" s="1032"/>
      <c r="AX67" s="1152"/>
      <c r="AY67" s="1153"/>
      <c r="AZ67" s="1032"/>
      <c r="BA67" s="1152"/>
      <c r="BB67" s="1155"/>
      <c r="BC67" s="1157"/>
      <c r="BD67" s="1152"/>
      <c r="BE67" s="1159"/>
      <c r="BF67" s="1161"/>
      <c r="BG67" s="1152"/>
      <c r="BH67" s="1153"/>
      <c r="BI67" s="1032"/>
      <c r="BJ67" s="1096"/>
      <c r="BK67" s="1097"/>
      <c r="BL67" s="1032"/>
      <c r="BM67" s="1099"/>
    </row>
    <row r="68" spans="1:65" ht="15" customHeight="1" x14ac:dyDescent="0.3">
      <c r="A68" s="63" t="s">
        <v>106</v>
      </c>
      <c r="C68" s="283"/>
      <c r="D68" s="162"/>
      <c r="E68" s="340"/>
      <c r="F68" s="264"/>
      <c r="G68" s="264"/>
      <c r="H68" s="162"/>
      <c r="I68" s="162"/>
      <c r="J68" s="340"/>
      <c r="K68" s="267"/>
      <c r="L68" s="264"/>
      <c r="M68" s="264"/>
      <c r="N68" s="267"/>
      <c r="O68" s="264"/>
      <c r="P68" s="267"/>
      <c r="Q68" s="267"/>
      <c r="R68" s="267"/>
      <c r="S68" s="267"/>
      <c r="T68" s="264"/>
      <c r="U68" s="267"/>
      <c r="V68" s="264"/>
      <c r="W68" s="264"/>
      <c r="X68" s="264"/>
      <c r="Y68" s="264"/>
      <c r="Z68" s="162"/>
      <c r="AA68" s="340"/>
      <c r="AB68" s="267"/>
      <c r="AC68" s="267"/>
      <c r="AD68" s="264"/>
      <c r="AE68" s="264"/>
      <c r="AF68" s="162"/>
      <c r="AG68" s="267"/>
      <c r="AH68" s="267"/>
      <c r="AI68" s="267"/>
      <c r="AJ68" s="264"/>
      <c r="AK68" s="264"/>
      <c r="AL68" s="276"/>
      <c r="AM68" s="242" t="s">
        <v>106</v>
      </c>
      <c r="AN68" s="283"/>
      <c r="AO68" s="267"/>
      <c r="AP68" s="323"/>
      <c r="AQ68" s="320"/>
      <c r="AR68" s="277"/>
      <c r="AS68" s="1019"/>
      <c r="AT68" s="1020"/>
      <c r="AU68" s="1058" t="s">
        <v>259</v>
      </c>
      <c r="AV68" s="1059"/>
      <c r="AW68" s="1100" t="s">
        <v>265</v>
      </c>
      <c r="AX68" s="1101">
        <v>6014</v>
      </c>
      <c r="AY68" s="1102"/>
      <c r="AZ68" s="1100" t="s">
        <v>267</v>
      </c>
      <c r="BA68" s="1101">
        <v>102</v>
      </c>
      <c r="BB68" s="1107"/>
      <c r="BC68" s="1108" t="s">
        <v>269</v>
      </c>
      <c r="BD68" s="1101">
        <v>0</v>
      </c>
      <c r="BE68" s="1103"/>
      <c r="BF68" s="1104" t="s">
        <v>271</v>
      </c>
      <c r="BG68" s="1101">
        <f t="shared" ref="BG68" si="3">BA68+BD68</f>
        <v>102</v>
      </c>
      <c r="BH68" s="1102"/>
      <c r="BI68" s="1100" t="s">
        <v>262</v>
      </c>
      <c r="BJ68" s="1105">
        <f>IFERROR(BG68/AX68,"")</f>
        <v>1.6960425673428665E-2</v>
      </c>
      <c r="BK68" s="1106"/>
      <c r="BL68" s="1100" t="s">
        <v>263</v>
      </c>
      <c r="BM68" s="1116"/>
    </row>
    <row r="69" spans="1:65" ht="15" customHeight="1" x14ac:dyDescent="0.3">
      <c r="A69" s="67" t="s">
        <v>114</v>
      </c>
      <c r="C69" s="282"/>
      <c r="D69" s="218"/>
      <c r="E69" s="352"/>
      <c r="F69" s="286"/>
      <c r="G69" s="264"/>
      <c r="H69" s="218"/>
      <c r="I69" s="218"/>
      <c r="J69" s="267"/>
      <c r="K69" s="267"/>
      <c r="L69" s="286"/>
      <c r="M69" s="286"/>
      <c r="N69" s="267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18"/>
      <c r="AA69" s="286"/>
      <c r="AB69" s="286"/>
      <c r="AC69" s="286"/>
      <c r="AD69" s="286"/>
      <c r="AE69" s="286"/>
      <c r="AF69" s="218"/>
      <c r="AG69" s="286"/>
      <c r="AH69" s="286"/>
      <c r="AI69" s="286"/>
      <c r="AJ69" s="264"/>
      <c r="AK69" s="286"/>
      <c r="AL69" s="289"/>
      <c r="AM69" s="243" t="s">
        <v>114</v>
      </c>
      <c r="AN69" s="282"/>
      <c r="AO69" s="262">
        <v>16</v>
      </c>
      <c r="AP69" s="316"/>
      <c r="AQ69" s="316"/>
      <c r="AR69" s="273"/>
      <c r="AS69" s="1019"/>
      <c r="AT69" s="1020"/>
      <c r="AU69" s="1058"/>
      <c r="AV69" s="1059"/>
      <c r="AW69" s="1100"/>
      <c r="AX69" s="1101"/>
      <c r="AY69" s="1102"/>
      <c r="AZ69" s="1100"/>
      <c r="BA69" s="1101"/>
      <c r="BB69" s="1107"/>
      <c r="BC69" s="1108"/>
      <c r="BD69" s="1101"/>
      <c r="BE69" s="1103"/>
      <c r="BF69" s="1104"/>
      <c r="BG69" s="1101"/>
      <c r="BH69" s="1102"/>
      <c r="BI69" s="1100"/>
      <c r="BJ69" s="1105"/>
      <c r="BK69" s="1106"/>
      <c r="BL69" s="1100"/>
      <c r="BM69" s="1074"/>
    </row>
    <row r="70" spans="1:65" ht="30" customHeight="1" x14ac:dyDescent="0.3">
      <c r="A70" s="63" t="s">
        <v>19</v>
      </c>
      <c r="C70" s="284">
        <v>34.950219619326504</v>
      </c>
      <c r="D70" s="162"/>
      <c r="E70" s="340">
        <v>25</v>
      </c>
      <c r="F70" s="386">
        <v>32.722474226804124</v>
      </c>
      <c r="G70" s="386">
        <v>71.027568922305775</v>
      </c>
      <c r="H70" s="162"/>
      <c r="I70" s="162"/>
      <c r="J70" s="385">
        <v>59.944146079484426</v>
      </c>
      <c r="K70" s="267">
        <v>74.149659863945587</v>
      </c>
      <c r="L70" s="264">
        <v>39.374845360824743</v>
      </c>
      <c r="M70" s="264">
        <v>28.726207906295755</v>
      </c>
      <c r="N70" s="385">
        <v>66.032223415682068</v>
      </c>
      <c r="O70" s="264">
        <v>47.465567010309279</v>
      </c>
      <c r="P70" s="267">
        <v>49.632503660322108</v>
      </c>
      <c r="Q70" s="267">
        <v>21.729449838187701</v>
      </c>
      <c r="R70" s="267">
        <v>13.112781954887218</v>
      </c>
      <c r="S70" s="267">
        <v>36.121682847896437</v>
      </c>
      <c r="T70" s="384">
        <v>63.300431241015815</v>
      </c>
      <c r="U70" s="267">
        <v>57.134264232008597</v>
      </c>
      <c r="V70" s="264">
        <v>46.386804123711343</v>
      </c>
      <c r="W70" s="264"/>
      <c r="X70" s="264"/>
      <c r="Y70" s="264"/>
      <c r="Z70" s="162"/>
      <c r="AA70" s="267">
        <v>52.348220064724913</v>
      </c>
      <c r="AB70" s="267">
        <v>80.237737200143215</v>
      </c>
      <c r="AC70" s="267">
        <v>74.617973505191557</v>
      </c>
      <c r="AD70" s="264">
        <v>38.857690464781982</v>
      </c>
      <c r="AE70" s="264">
        <v>13.112781954887218</v>
      </c>
      <c r="AF70" s="162"/>
      <c r="AG70" s="385">
        <v>69.310418904403875</v>
      </c>
      <c r="AH70" s="385">
        <v>72.900823487289657</v>
      </c>
      <c r="AI70" s="384">
        <v>52.32</v>
      </c>
      <c r="AJ70" s="386">
        <v>12.5</v>
      </c>
      <c r="AK70" s="264">
        <v>30.800878477306004</v>
      </c>
      <c r="AL70" s="276">
        <v>29.845773195876291</v>
      </c>
      <c r="AM70" s="242" t="s">
        <v>19</v>
      </c>
      <c r="AN70" s="283">
        <v>35</v>
      </c>
      <c r="AO70" s="267">
        <v>35</v>
      </c>
      <c r="AP70" s="321"/>
      <c r="AQ70" s="322"/>
      <c r="AR70" s="276">
        <v>26</v>
      </c>
      <c r="AS70" s="1019"/>
      <c r="AT70" s="1020"/>
      <c r="AU70" s="1058"/>
      <c r="AV70" s="1059"/>
      <c r="AW70" s="1100"/>
      <c r="AX70" s="1101"/>
      <c r="AY70" s="1102"/>
      <c r="AZ70" s="1100"/>
      <c r="BA70" s="1101"/>
      <c r="BB70" s="1107"/>
      <c r="BC70" s="1108"/>
      <c r="BD70" s="1101"/>
      <c r="BE70" s="1103"/>
      <c r="BF70" s="1104"/>
      <c r="BG70" s="1101"/>
      <c r="BH70" s="1102"/>
      <c r="BI70" s="1100"/>
      <c r="BJ70" s="1105"/>
      <c r="BK70" s="1106"/>
      <c r="BL70" s="1100"/>
      <c r="BM70" s="1075"/>
    </row>
    <row r="71" spans="1:65" ht="15" customHeight="1" x14ac:dyDescent="0.3">
      <c r="A71" s="63" t="s">
        <v>113</v>
      </c>
      <c r="C71" s="284"/>
      <c r="D71" s="162"/>
      <c r="E71" s="340"/>
      <c r="F71" s="264"/>
      <c r="G71" s="453"/>
      <c r="H71" s="162"/>
      <c r="I71" s="162"/>
      <c r="J71" s="267"/>
      <c r="K71" s="267"/>
      <c r="L71" s="264"/>
      <c r="M71" s="264"/>
      <c r="N71" s="453"/>
      <c r="O71" s="264"/>
      <c r="P71" s="267"/>
      <c r="Q71" s="267"/>
      <c r="R71" s="267"/>
      <c r="S71" s="267"/>
      <c r="T71" s="264"/>
      <c r="U71" s="267"/>
      <c r="V71" s="264"/>
      <c r="W71" s="264"/>
      <c r="X71" s="264"/>
      <c r="Y71" s="264"/>
      <c r="Z71" s="162"/>
      <c r="AA71" s="340"/>
      <c r="AB71" s="267"/>
      <c r="AC71" s="267"/>
      <c r="AD71" s="264"/>
      <c r="AE71" s="264"/>
      <c r="AF71" s="162"/>
      <c r="AG71" s="267"/>
      <c r="AH71" s="267"/>
      <c r="AI71" s="267"/>
      <c r="AJ71" s="219"/>
      <c r="AK71" s="264"/>
      <c r="AL71" s="276"/>
      <c r="AM71" s="242" t="s">
        <v>113</v>
      </c>
      <c r="AN71" s="283"/>
      <c r="AO71" s="320"/>
      <c r="AP71" s="323"/>
      <c r="AQ71" s="320"/>
      <c r="AR71" s="277"/>
      <c r="AS71" s="1019"/>
      <c r="AT71" s="1020"/>
      <c r="AU71" s="1058" t="s">
        <v>260</v>
      </c>
      <c r="AV71" s="1059"/>
      <c r="AW71" s="1100" t="s">
        <v>265</v>
      </c>
      <c r="AX71" s="1101">
        <v>2473</v>
      </c>
      <c r="AY71" s="1102"/>
      <c r="AZ71" s="1100" t="s">
        <v>267</v>
      </c>
      <c r="BA71" s="1101">
        <v>454.37416000000002</v>
      </c>
      <c r="BB71" s="1107"/>
      <c r="BC71" s="1108" t="s">
        <v>269</v>
      </c>
      <c r="BD71" s="1101">
        <v>0</v>
      </c>
      <c r="BE71" s="1103"/>
      <c r="BF71" s="1104" t="s">
        <v>271</v>
      </c>
      <c r="BG71" s="1101">
        <f t="shared" ref="BG71" si="4">BA71+BD71</f>
        <v>454.37416000000002</v>
      </c>
      <c r="BH71" s="1102"/>
      <c r="BI71" s="1100" t="s">
        <v>262</v>
      </c>
      <c r="BJ71" s="1105">
        <f>IFERROR(BG71/AX71,"")</f>
        <v>0.18373399110392236</v>
      </c>
      <c r="BK71" s="1106"/>
      <c r="BL71" s="1100" t="s">
        <v>263</v>
      </c>
      <c r="BM71" s="1117"/>
    </row>
    <row r="72" spans="1:65" ht="15" customHeight="1" x14ac:dyDescent="0.3">
      <c r="A72" s="67" t="s">
        <v>115</v>
      </c>
      <c r="C72" s="282"/>
      <c r="D72" s="218"/>
      <c r="E72" s="286"/>
      <c r="F72" s="264"/>
      <c r="G72" s="286"/>
      <c r="H72" s="218"/>
      <c r="I72" s="218"/>
      <c r="J72" s="286"/>
      <c r="K72" s="267"/>
      <c r="L72" s="264"/>
      <c r="M72" s="286"/>
      <c r="N72" s="286"/>
      <c r="O72" s="264"/>
      <c r="P72" s="286"/>
      <c r="Q72" s="286"/>
      <c r="R72" s="286"/>
      <c r="S72" s="286"/>
      <c r="T72" s="286"/>
      <c r="U72" s="286"/>
      <c r="V72" s="264"/>
      <c r="W72" s="264"/>
      <c r="X72" s="264"/>
      <c r="Y72" s="264"/>
      <c r="Z72" s="218"/>
      <c r="AA72" s="286"/>
      <c r="AB72" s="267"/>
      <c r="AC72" s="286"/>
      <c r="AD72" s="286"/>
      <c r="AE72" s="286"/>
      <c r="AF72" s="218"/>
      <c r="AG72" s="286"/>
      <c r="AH72" s="286"/>
      <c r="AI72" s="267"/>
      <c r="AJ72" s="220"/>
      <c r="AK72" s="264"/>
      <c r="AL72" s="276"/>
      <c r="AM72" s="243" t="s">
        <v>115</v>
      </c>
      <c r="AN72" s="282"/>
      <c r="AO72" s="316"/>
      <c r="AP72" s="262">
        <v>15</v>
      </c>
      <c r="AQ72" s="262">
        <v>8</v>
      </c>
      <c r="AR72" s="288">
        <v>9</v>
      </c>
      <c r="AS72" s="1019"/>
      <c r="AT72" s="1020"/>
      <c r="AU72" s="1058"/>
      <c r="AV72" s="1059"/>
      <c r="AW72" s="1100"/>
      <c r="AX72" s="1101"/>
      <c r="AY72" s="1102"/>
      <c r="AZ72" s="1100"/>
      <c r="BA72" s="1101"/>
      <c r="BB72" s="1107"/>
      <c r="BC72" s="1108"/>
      <c r="BD72" s="1101"/>
      <c r="BE72" s="1103"/>
      <c r="BF72" s="1104"/>
      <c r="BG72" s="1101"/>
      <c r="BH72" s="1102"/>
      <c r="BI72" s="1100"/>
      <c r="BJ72" s="1105"/>
      <c r="BK72" s="1106"/>
      <c r="BL72" s="1100"/>
      <c r="BM72" s="1117"/>
    </row>
    <row r="73" spans="1:65" ht="30" customHeight="1" x14ac:dyDescent="0.3">
      <c r="A73" s="63" t="s">
        <v>116</v>
      </c>
      <c r="C73" s="395">
        <v>30.942166910688137</v>
      </c>
      <c r="D73" s="162"/>
      <c r="E73" s="267">
        <v>35.851779935275083</v>
      </c>
      <c r="F73" s="264">
        <v>14.484948453608247</v>
      </c>
      <c r="G73" s="264">
        <v>62.882205513784456</v>
      </c>
      <c r="H73" s="162"/>
      <c r="I73" s="162"/>
      <c r="J73" s="385">
        <v>53.069817400644467</v>
      </c>
      <c r="K73" s="267">
        <v>65.646258503401356</v>
      </c>
      <c r="L73" s="386">
        <v>17.429690721649482</v>
      </c>
      <c r="M73" s="386">
        <v>25.43191800878477</v>
      </c>
      <c r="N73" s="267">
        <v>58.459720730397414</v>
      </c>
      <c r="O73" s="264">
        <v>21.011134020618556</v>
      </c>
      <c r="P73" s="267">
        <v>43.940702781844799</v>
      </c>
      <c r="Q73" s="267">
        <v>19.237540453074434</v>
      </c>
      <c r="R73" s="267">
        <v>11.609022556390977</v>
      </c>
      <c r="S73" s="267">
        <v>31.979288025889968</v>
      </c>
      <c r="T73" s="384">
        <v>56.041207474844271</v>
      </c>
      <c r="U73" s="267">
        <v>50.582169709989252</v>
      </c>
      <c r="V73" s="264">
        <v>20.533608247422681</v>
      </c>
      <c r="W73" s="264"/>
      <c r="X73" s="264"/>
      <c r="Y73" s="264"/>
      <c r="Z73" s="162"/>
      <c r="AA73" s="267">
        <v>46.344983818770224</v>
      </c>
      <c r="AB73" s="385">
        <v>71.03616183315431</v>
      </c>
      <c r="AC73" s="267">
        <v>66.060866451843893</v>
      </c>
      <c r="AD73" s="264">
        <v>34.401533301389556</v>
      </c>
      <c r="AE73" s="264">
        <v>11.609022556390977</v>
      </c>
      <c r="AF73" s="162"/>
      <c r="AG73" s="385">
        <v>61.36197636949516</v>
      </c>
      <c r="AH73" s="385">
        <v>64.54063730755459</v>
      </c>
      <c r="AI73" s="267">
        <v>23.16</v>
      </c>
      <c r="AJ73" s="221"/>
      <c r="AK73" s="386">
        <v>27.268667642752561</v>
      </c>
      <c r="AL73" s="387">
        <v>13.211546391752577</v>
      </c>
      <c r="AM73" s="242" t="s">
        <v>116</v>
      </c>
      <c r="AN73" s="283">
        <v>29</v>
      </c>
      <c r="AO73" s="320"/>
      <c r="AP73" s="264">
        <v>27</v>
      </c>
      <c r="AQ73" s="267">
        <v>12</v>
      </c>
      <c r="AR73" s="276">
        <v>8</v>
      </c>
      <c r="AS73" s="1019"/>
      <c r="AT73" s="1020"/>
      <c r="AU73" s="1058"/>
      <c r="AV73" s="1059"/>
      <c r="AW73" s="1100"/>
      <c r="AX73" s="1101"/>
      <c r="AY73" s="1102"/>
      <c r="AZ73" s="1100"/>
      <c r="BA73" s="1101"/>
      <c r="BB73" s="1107"/>
      <c r="BC73" s="1108"/>
      <c r="BD73" s="1101"/>
      <c r="BE73" s="1103"/>
      <c r="BF73" s="1104"/>
      <c r="BG73" s="1101"/>
      <c r="BH73" s="1102"/>
      <c r="BI73" s="1100"/>
      <c r="BJ73" s="1105"/>
      <c r="BK73" s="1106"/>
      <c r="BL73" s="1100"/>
      <c r="BM73" s="1117"/>
    </row>
    <row r="74" spans="1:65" ht="15" customHeight="1" x14ac:dyDescent="0.3">
      <c r="A74" s="63" t="s">
        <v>117</v>
      </c>
      <c r="C74" s="284"/>
      <c r="D74" s="162"/>
      <c r="E74" s="340"/>
      <c r="F74" s="222"/>
      <c r="G74" s="264"/>
      <c r="H74" s="162"/>
      <c r="I74" s="162"/>
      <c r="J74" s="267"/>
      <c r="K74" s="267"/>
      <c r="L74" s="223"/>
      <c r="M74" s="264"/>
      <c r="N74" s="267"/>
      <c r="O74" s="224"/>
      <c r="P74" s="267"/>
      <c r="Q74" s="267"/>
      <c r="R74" s="267"/>
      <c r="S74" s="267"/>
      <c r="T74" s="264"/>
      <c r="U74" s="267"/>
      <c r="V74" s="223"/>
      <c r="W74" s="223"/>
      <c r="X74" s="223"/>
      <c r="Y74" s="223"/>
      <c r="Z74" s="162"/>
      <c r="AA74" s="340"/>
      <c r="AB74" s="267"/>
      <c r="AC74" s="267"/>
      <c r="AD74" s="264"/>
      <c r="AE74" s="264"/>
      <c r="AF74" s="162"/>
      <c r="AG74" s="267"/>
      <c r="AH74" s="267"/>
      <c r="AI74" s="225"/>
      <c r="AJ74" s="221"/>
      <c r="AK74" s="267"/>
      <c r="AL74" s="226"/>
      <c r="AM74" s="242" t="s">
        <v>117</v>
      </c>
      <c r="AN74" s="283"/>
      <c r="AO74" s="320"/>
      <c r="AP74" s="263"/>
      <c r="AQ74" s="263"/>
      <c r="AR74" s="325"/>
      <c r="AS74" s="1019"/>
      <c r="AT74" s="1020"/>
      <c r="AU74" s="1058" t="s">
        <v>261</v>
      </c>
      <c r="AV74" s="1059"/>
      <c r="AW74" s="1100" t="s">
        <v>265</v>
      </c>
      <c r="AX74" s="1101">
        <v>597</v>
      </c>
      <c r="AY74" s="1102"/>
      <c r="AZ74" s="1100" t="s">
        <v>267</v>
      </c>
      <c r="BA74" s="1101">
        <v>0</v>
      </c>
      <c r="BB74" s="1107"/>
      <c r="BC74" s="1108" t="s">
        <v>269</v>
      </c>
      <c r="BD74" s="1101">
        <v>0</v>
      </c>
      <c r="BE74" s="1103"/>
      <c r="BF74" s="1104" t="s">
        <v>271</v>
      </c>
      <c r="BG74" s="1101">
        <f t="shared" ref="BG74" si="5">BA74+BD74</f>
        <v>0</v>
      </c>
      <c r="BH74" s="1102"/>
      <c r="BI74" s="1100" t="s">
        <v>262</v>
      </c>
      <c r="BJ74" s="1105">
        <f>IFERROR(BG74/AX74,"")</f>
        <v>0</v>
      </c>
      <c r="BK74" s="1106"/>
      <c r="BL74" s="1100" t="s">
        <v>263</v>
      </c>
      <c r="BM74" s="1117"/>
    </row>
    <row r="75" spans="1:65" ht="15" customHeight="1" x14ac:dyDescent="0.3">
      <c r="A75" s="67" t="s">
        <v>118</v>
      </c>
      <c r="C75" s="282"/>
      <c r="D75" s="162"/>
      <c r="E75" s="286"/>
      <c r="F75" s="187"/>
      <c r="G75" s="264"/>
      <c r="H75" s="218"/>
      <c r="I75" s="218"/>
      <c r="J75" s="267"/>
      <c r="K75" s="267"/>
      <c r="L75" s="185"/>
      <c r="M75" s="286"/>
      <c r="N75" s="267"/>
      <c r="O75" s="221"/>
      <c r="P75" s="267"/>
      <c r="Q75" s="286"/>
      <c r="R75" s="267"/>
      <c r="S75" s="286"/>
      <c r="T75" s="264"/>
      <c r="U75" s="267"/>
      <c r="V75" s="185"/>
      <c r="W75" s="185"/>
      <c r="X75" s="185"/>
      <c r="Y75" s="185"/>
      <c r="Z75" s="218"/>
      <c r="AA75" s="267"/>
      <c r="AB75" s="267"/>
      <c r="AC75" s="286"/>
      <c r="AD75" s="264"/>
      <c r="AE75" s="264"/>
      <c r="AF75" s="218"/>
      <c r="AG75" s="267"/>
      <c r="AH75" s="267"/>
      <c r="AI75" s="188"/>
      <c r="AJ75" s="221"/>
      <c r="AK75" s="286"/>
      <c r="AL75" s="227"/>
      <c r="AM75" s="243" t="s">
        <v>118</v>
      </c>
      <c r="AN75" s="281">
        <v>37</v>
      </c>
      <c r="AO75" s="316"/>
      <c r="AP75" s="501"/>
      <c r="AQ75" s="259"/>
      <c r="AR75" s="317"/>
      <c r="AS75" s="1019"/>
      <c r="AT75" s="1020"/>
      <c r="AU75" s="1058"/>
      <c r="AV75" s="1059"/>
      <c r="AW75" s="1100"/>
      <c r="AX75" s="1101"/>
      <c r="AY75" s="1102"/>
      <c r="AZ75" s="1100"/>
      <c r="BA75" s="1101"/>
      <c r="BB75" s="1107"/>
      <c r="BC75" s="1108"/>
      <c r="BD75" s="1101"/>
      <c r="BE75" s="1103"/>
      <c r="BF75" s="1104"/>
      <c r="BG75" s="1101"/>
      <c r="BH75" s="1102"/>
      <c r="BI75" s="1100"/>
      <c r="BJ75" s="1105"/>
      <c r="BK75" s="1106"/>
      <c r="BL75" s="1100"/>
      <c r="BM75" s="1117"/>
    </row>
    <row r="76" spans="1:65" ht="30" customHeight="1" thickBot="1" x14ac:dyDescent="0.35">
      <c r="A76" s="63" t="s">
        <v>119</v>
      </c>
      <c r="C76" s="283">
        <v>28.056368960468518</v>
      </c>
      <c r="D76" s="162"/>
      <c r="E76" s="267">
        <v>32.508090614886733</v>
      </c>
      <c r="F76" s="187"/>
      <c r="G76" s="264">
        <v>28.508771929824558</v>
      </c>
      <c r="H76" s="162"/>
      <c r="I76" s="162"/>
      <c r="J76" s="385">
        <v>24.060150375939848</v>
      </c>
      <c r="K76" s="385">
        <v>29.761904761904759</v>
      </c>
      <c r="L76" s="186"/>
      <c r="M76" s="386">
        <v>23.060029282576863</v>
      </c>
      <c r="N76" s="267">
        <v>26.503759398496239</v>
      </c>
      <c r="O76" s="221"/>
      <c r="P76" s="267">
        <v>39.842606149341137</v>
      </c>
      <c r="Q76" s="267">
        <v>17.443365695792881</v>
      </c>
      <c r="R76" s="267">
        <v>5.2631578947368416</v>
      </c>
      <c r="S76" s="267">
        <v>28.996763754045308</v>
      </c>
      <c r="T76" s="264">
        <v>25.407283181600384</v>
      </c>
      <c r="U76" s="267">
        <v>22.932330827067666</v>
      </c>
      <c r="V76" s="186"/>
      <c r="W76" s="185"/>
      <c r="X76" s="185"/>
      <c r="Y76" s="185"/>
      <c r="Z76" s="162"/>
      <c r="AA76" s="385">
        <v>42.02265372168285</v>
      </c>
      <c r="AB76" s="267">
        <v>32.205513784461154</v>
      </c>
      <c r="AC76" s="267">
        <v>29.94987468671679</v>
      </c>
      <c r="AD76" s="264">
        <v>15.596550071873502</v>
      </c>
      <c r="AE76" s="264">
        <v>5.2631578947368416</v>
      </c>
      <c r="AF76" s="162"/>
      <c r="AG76" s="267">
        <v>27.819548872180448</v>
      </c>
      <c r="AH76" s="385">
        <v>29.260651629072679</v>
      </c>
      <c r="AI76" s="188"/>
      <c r="AJ76" s="221"/>
      <c r="AK76" s="267">
        <v>24.725475841874083</v>
      </c>
      <c r="AL76" s="227"/>
      <c r="AM76" s="242" t="s">
        <v>119</v>
      </c>
      <c r="AN76" s="283">
        <v>14</v>
      </c>
      <c r="AO76" s="320"/>
      <c r="AP76" s="267">
        <v>51</v>
      </c>
      <c r="AQ76" s="267">
        <v>17</v>
      </c>
      <c r="AR76" s="326"/>
      <c r="AS76" s="1021"/>
      <c r="AT76" s="1022"/>
      <c r="AU76" s="1165"/>
      <c r="AV76" s="1166"/>
      <c r="AW76" s="1111"/>
      <c r="AX76" s="1112"/>
      <c r="AY76" s="1113"/>
      <c r="AZ76" s="1111"/>
      <c r="BA76" s="1112"/>
      <c r="BB76" s="1114"/>
      <c r="BC76" s="1115"/>
      <c r="BD76" s="1112"/>
      <c r="BE76" s="1163"/>
      <c r="BF76" s="1164"/>
      <c r="BG76" s="1112"/>
      <c r="BH76" s="1113"/>
      <c r="BI76" s="1111"/>
      <c r="BJ76" s="1109"/>
      <c r="BK76" s="1110"/>
      <c r="BL76" s="1111"/>
      <c r="BM76" s="1162"/>
    </row>
    <row r="77" spans="1:65" ht="15" customHeight="1" x14ac:dyDescent="0.3">
      <c r="A77" s="63" t="s">
        <v>120</v>
      </c>
      <c r="C77" s="284"/>
      <c r="D77" s="162"/>
      <c r="E77" s="340"/>
      <c r="F77" s="187"/>
      <c r="G77" s="228"/>
      <c r="H77" s="162"/>
      <c r="I77" s="162"/>
      <c r="J77" s="187"/>
      <c r="K77" s="184"/>
      <c r="L77" s="221"/>
      <c r="M77" s="267"/>
      <c r="N77" s="229"/>
      <c r="O77" s="221"/>
      <c r="P77" s="267"/>
      <c r="Q77" s="267"/>
      <c r="R77" s="223"/>
      <c r="S77" s="267"/>
      <c r="T77" s="187"/>
      <c r="U77" s="184"/>
      <c r="V77" s="221"/>
      <c r="W77" s="221"/>
      <c r="X77" s="221"/>
      <c r="Y77" s="221"/>
      <c r="Z77" s="162"/>
      <c r="AA77" s="340"/>
      <c r="AB77" s="222"/>
      <c r="AC77" s="230"/>
      <c r="AD77" s="230"/>
      <c r="AE77" s="224"/>
      <c r="AF77" s="162"/>
      <c r="AG77" s="222"/>
      <c r="AH77" s="225"/>
      <c r="AI77" s="188"/>
      <c r="AJ77" s="221"/>
      <c r="AK77" s="267"/>
      <c r="AL77" s="227"/>
      <c r="AM77" s="242" t="s">
        <v>120</v>
      </c>
      <c r="AN77" s="327"/>
      <c r="AO77" s="324"/>
      <c r="AP77" s="501"/>
      <c r="AQ77" s="501"/>
      <c r="AR77" s="325"/>
      <c r="AS77" s="1017" t="s">
        <v>289</v>
      </c>
      <c r="AT77" s="1018"/>
      <c r="AU77" s="1054" t="s">
        <v>272</v>
      </c>
      <c r="AV77" s="1055"/>
      <c r="AW77" s="1031" t="s">
        <v>264</v>
      </c>
      <c r="AX77" s="1150">
        <f>AX53+AX65</f>
        <v>518</v>
      </c>
      <c r="AY77" s="1151"/>
      <c r="AZ77" s="1031" t="s">
        <v>266</v>
      </c>
      <c r="BA77" s="1150">
        <v>213</v>
      </c>
      <c r="BB77" s="1154"/>
      <c r="BC77" s="1156" t="s">
        <v>268</v>
      </c>
      <c r="BD77" s="1150">
        <f>BD53+BD65</f>
        <v>0</v>
      </c>
      <c r="BE77" s="1158"/>
      <c r="BF77" s="1160" t="s">
        <v>270</v>
      </c>
      <c r="BG77" s="1150">
        <f>BG53+BG65</f>
        <v>213</v>
      </c>
      <c r="BH77" s="1151"/>
      <c r="BI77" s="1031" t="s">
        <v>262</v>
      </c>
      <c r="BJ77" s="1094">
        <f>IFERROR(BG77/AX77,"")</f>
        <v>0.41119691119691121</v>
      </c>
      <c r="BK77" s="1095"/>
      <c r="BL77" s="1031" t="s">
        <v>263</v>
      </c>
      <c r="BM77" s="1098"/>
    </row>
    <row r="78" spans="1:65" ht="15" customHeight="1" x14ac:dyDescent="0.3">
      <c r="A78" s="67" t="s">
        <v>121</v>
      </c>
      <c r="C78" s="284"/>
      <c r="D78" s="267">
        <v>7</v>
      </c>
      <c r="E78" s="287"/>
      <c r="F78" s="187"/>
      <c r="G78" s="189"/>
      <c r="H78" s="267">
        <v>5</v>
      </c>
      <c r="I78" s="267">
        <v>10</v>
      </c>
      <c r="J78" s="187"/>
      <c r="K78" s="184"/>
      <c r="L78" s="221"/>
      <c r="M78" s="267"/>
      <c r="N78" s="231"/>
      <c r="O78" s="221"/>
      <c r="P78" s="267"/>
      <c r="Q78" s="267"/>
      <c r="R78" s="185"/>
      <c r="S78" s="267"/>
      <c r="T78" s="187"/>
      <c r="U78" s="184"/>
      <c r="V78" s="221"/>
      <c r="W78" s="221"/>
      <c r="X78" s="221"/>
      <c r="Y78" s="221"/>
      <c r="Z78" s="267">
        <v>8</v>
      </c>
      <c r="AA78" s="267"/>
      <c r="AB78" s="187"/>
      <c r="AC78" s="184"/>
      <c r="AD78" s="184"/>
      <c r="AE78" s="221"/>
      <c r="AF78" s="161">
        <v>10</v>
      </c>
      <c r="AG78" s="187"/>
      <c r="AH78" s="188"/>
      <c r="AI78" s="188"/>
      <c r="AJ78" s="221"/>
      <c r="AK78" s="267"/>
      <c r="AL78" s="227"/>
      <c r="AM78" s="243" t="s">
        <v>121</v>
      </c>
      <c r="AN78" s="315"/>
      <c r="AO78" s="316"/>
      <c r="AP78" s="262">
        <v>29</v>
      </c>
      <c r="AQ78" s="262">
        <v>15</v>
      </c>
      <c r="AR78" s="317"/>
      <c r="AS78" s="1019"/>
      <c r="AT78" s="1020"/>
      <c r="AU78" s="1056"/>
      <c r="AV78" s="1057"/>
      <c r="AW78" s="1032"/>
      <c r="AX78" s="1152"/>
      <c r="AY78" s="1153"/>
      <c r="AZ78" s="1032"/>
      <c r="BA78" s="1152"/>
      <c r="BB78" s="1155"/>
      <c r="BC78" s="1157"/>
      <c r="BD78" s="1152"/>
      <c r="BE78" s="1159"/>
      <c r="BF78" s="1161"/>
      <c r="BG78" s="1152"/>
      <c r="BH78" s="1153"/>
      <c r="BI78" s="1032"/>
      <c r="BJ78" s="1096"/>
      <c r="BK78" s="1097"/>
      <c r="BL78" s="1032"/>
      <c r="BM78" s="1099"/>
    </row>
    <row r="79" spans="1:65" ht="30" customHeight="1" thickBot="1" x14ac:dyDescent="0.35">
      <c r="A79" s="63" t="s">
        <v>122</v>
      </c>
      <c r="C79" s="285">
        <v>9.7796486090775989</v>
      </c>
      <c r="D79" s="343"/>
      <c r="E79" s="272">
        <v>24</v>
      </c>
      <c r="F79" s="191"/>
      <c r="G79" s="193"/>
      <c r="H79" s="343"/>
      <c r="I79" s="343"/>
      <c r="J79" s="191"/>
      <c r="K79" s="195"/>
      <c r="L79" s="192"/>
      <c r="M79" s="272">
        <v>8.0380673499267932</v>
      </c>
      <c r="N79" s="232"/>
      <c r="O79" s="192"/>
      <c r="P79" s="272">
        <v>13.887994143484628</v>
      </c>
      <c r="Q79" s="272">
        <v>6.0802588996763758</v>
      </c>
      <c r="R79" s="190"/>
      <c r="S79" s="272">
        <v>10.107443365695794</v>
      </c>
      <c r="T79" s="191"/>
      <c r="U79" s="195"/>
      <c r="V79" s="192"/>
      <c r="W79" s="221"/>
      <c r="X79" s="221"/>
      <c r="Y79" s="221"/>
      <c r="Z79" s="343"/>
      <c r="AA79" s="272">
        <v>14.64789644012945</v>
      </c>
      <c r="AB79" s="191"/>
      <c r="AC79" s="195"/>
      <c r="AD79" s="195"/>
      <c r="AE79" s="192"/>
      <c r="AF79" s="343"/>
      <c r="AG79" s="191"/>
      <c r="AH79" s="194"/>
      <c r="AI79" s="194"/>
      <c r="AJ79" s="192"/>
      <c r="AK79" s="290">
        <v>8.6185944363103957</v>
      </c>
      <c r="AL79" s="233"/>
      <c r="AM79" s="242" t="s">
        <v>122</v>
      </c>
      <c r="AN79" s="328"/>
      <c r="AO79" s="88"/>
      <c r="AP79" s="502">
        <v>11</v>
      </c>
      <c r="AQ79" s="502">
        <v>4</v>
      </c>
      <c r="AR79" s="329"/>
      <c r="AS79" s="1019"/>
      <c r="AT79" s="1020"/>
      <c r="AU79" s="1056"/>
      <c r="AV79" s="1057"/>
      <c r="AW79" s="1032"/>
      <c r="AX79" s="1152"/>
      <c r="AY79" s="1153"/>
      <c r="AZ79" s="1032"/>
      <c r="BA79" s="1152"/>
      <c r="BB79" s="1155"/>
      <c r="BC79" s="1157"/>
      <c r="BD79" s="1152"/>
      <c r="BE79" s="1159"/>
      <c r="BF79" s="1161"/>
      <c r="BG79" s="1152"/>
      <c r="BH79" s="1153"/>
      <c r="BI79" s="1032"/>
      <c r="BJ79" s="1096"/>
      <c r="BK79" s="1097"/>
      <c r="BL79" s="1032"/>
      <c r="BM79" s="1099"/>
    </row>
    <row r="80" spans="1:65" ht="21.95" customHeight="1" x14ac:dyDescent="0.3">
      <c r="A80" s="58" t="s">
        <v>110</v>
      </c>
      <c r="C80" s="142">
        <v>4</v>
      </c>
      <c r="D80" s="143">
        <v>5</v>
      </c>
      <c r="E80" s="143">
        <v>8</v>
      </c>
      <c r="F80" s="143">
        <v>5</v>
      </c>
      <c r="G80" s="143">
        <v>2</v>
      </c>
      <c r="H80" s="143">
        <v>2</v>
      </c>
      <c r="I80" s="143">
        <v>4</v>
      </c>
      <c r="J80" s="143">
        <v>3</v>
      </c>
      <c r="K80" s="143">
        <v>2</v>
      </c>
      <c r="L80" s="143">
        <v>2</v>
      </c>
      <c r="M80" s="143">
        <v>1</v>
      </c>
      <c r="N80" s="143">
        <v>2</v>
      </c>
      <c r="O80" s="143">
        <v>1</v>
      </c>
      <c r="P80" s="143">
        <v>2</v>
      </c>
      <c r="Q80" s="143">
        <v>2</v>
      </c>
      <c r="R80" s="143">
        <v>1</v>
      </c>
      <c r="S80" s="144">
        <v>3</v>
      </c>
      <c r="T80" s="144">
        <v>2</v>
      </c>
      <c r="U80" s="144">
        <v>2</v>
      </c>
      <c r="V80" s="145">
        <v>1</v>
      </c>
      <c r="W80" s="515">
        <v>1</v>
      </c>
      <c r="X80" s="515">
        <v>1</v>
      </c>
      <c r="Y80" s="515">
        <v>1</v>
      </c>
      <c r="Z80" s="146">
        <v>4</v>
      </c>
      <c r="AA80" s="144">
        <v>6</v>
      </c>
      <c r="AB80" s="144">
        <v>1</v>
      </c>
      <c r="AC80" s="144">
        <v>2</v>
      </c>
      <c r="AD80" s="144">
        <v>2</v>
      </c>
      <c r="AE80" s="144">
        <v>1</v>
      </c>
      <c r="AF80" s="146">
        <v>3</v>
      </c>
      <c r="AG80" s="144">
        <v>1</v>
      </c>
      <c r="AH80" s="147">
        <v>3</v>
      </c>
      <c r="AI80" s="144">
        <v>1</v>
      </c>
      <c r="AJ80" s="144">
        <v>2</v>
      </c>
      <c r="AK80" s="144">
        <v>3</v>
      </c>
      <c r="AL80" s="149">
        <v>0</v>
      </c>
      <c r="AM80" s="245" t="s">
        <v>110</v>
      </c>
      <c r="AN80" s="142" t="s">
        <v>111</v>
      </c>
      <c r="AO80" s="143" t="s">
        <v>112</v>
      </c>
      <c r="AP80" s="143" t="s">
        <v>111</v>
      </c>
      <c r="AQ80" s="143" t="s">
        <v>111</v>
      </c>
      <c r="AR80" s="294" t="s">
        <v>111</v>
      </c>
      <c r="AS80" s="1019"/>
      <c r="AT80" s="1020"/>
      <c r="AU80" s="1058" t="s">
        <v>259</v>
      </c>
      <c r="AV80" s="1059"/>
      <c r="AW80" s="1100" t="s">
        <v>264</v>
      </c>
      <c r="AX80" s="1101">
        <f>AX56+AX68</f>
        <v>13549</v>
      </c>
      <c r="AY80" s="1102"/>
      <c r="AZ80" s="1100" t="s">
        <v>266</v>
      </c>
      <c r="BA80" s="1101">
        <v>637.08199999999999</v>
      </c>
      <c r="BB80" s="1107"/>
      <c r="BC80" s="1108" t="s">
        <v>268</v>
      </c>
      <c r="BD80" s="1101">
        <f>BD56+BD68</f>
        <v>0</v>
      </c>
      <c r="BE80" s="1103"/>
      <c r="BF80" s="1104" t="s">
        <v>270</v>
      </c>
      <c r="BG80" s="1101">
        <f>BG56+BG68</f>
        <v>637.08199999999999</v>
      </c>
      <c r="BH80" s="1102"/>
      <c r="BI80" s="1100" t="s">
        <v>262</v>
      </c>
      <c r="BJ80" s="1105">
        <f t="shared" ref="BJ80" si="6">IFERROR(BG80/AX80,"")</f>
        <v>4.7020591925603365E-2</v>
      </c>
      <c r="BK80" s="1106"/>
      <c r="BL80" s="1100" t="s">
        <v>263</v>
      </c>
      <c r="BM80" s="1117"/>
    </row>
    <row r="81" spans="1:65" ht="21.95" customHeight="1" thickBot="1" x14ac:dyDescent="0.35">
      <c r="A81" s="18" t="s">
        <v>20</v>
      </c>
      <c r="C81" s="111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3"/>
      <c r="W81" s="516"/>
      <c r="X81" s="516"/>
      <c r="Y81" s="516"/>
      <c r="Z81" s="114"/>
      <c r="AA81" s="112"/>
      <c r="AB81" s="112"/>
      <c r="AC81" s="112"/>
      <c r="AD81" s="112"/>
      <c r="AE81" s="112"/>
      <c r="AF81" s="114"/>
      <c r="AG81" s="112"/>
      <c r="AH81" s="112"/>
      <c r="AI81" s="112"/>
      <c r="AJ81" s="112"/>
      <c r="AK81" s="112"/>
      <c r="AL81" s="150"/>
      <c r="AM81" s="246" t="s">
        <v>20</v>
      </c>
      <c r="AN81" s="111"/>
      <c r="AO81" s="112"/>
      <c r="AP81" s="112"/>
      <c r="AQ81" s="112"/>
      <c r="AR81" s="150"/>
      <c r="AS81" s="1019"/>
      <c r="AT81" s="1020"/>
      <c r="AU81" s="1058"/>
      <c r="AV81" s="1059"/>
      <c r="AW81" s="1100"/>
      <c r="AX81" s="1101"/>
      <c r="AY81" s="1102"/>
      <c r="AZ81" s="1100"/>
      <c r="BA81" s="1101"/>
      <c r="BB81" s="1107"/>
      <c r="BC81" s="1108"/>
      <c r="BD81" s="1101"/>
      <c r="BE81" s="1103"/>
      <c r="BF81" s="1104"/>
      <c r="BG81" s="1101"/>
      <c r="BH81" s="1102"/>
      <c r="BI81" s="1100"/>
      <c r="BJ81" s="1105"/>
      <c r="BK81" s="1106"/>
      <c r="BL81" s="1100"/>
      <c r="BM81" s="1117"/>
    </row>
    <row r="82" spans="1:65" ht="21.95" customHeight="1" x14ac:dyDescent="0.3">
      <c r="A82" s="63" t="s">
        <v>21</v>
      </c>
      <c r="C82" s="129" t="s">
        <v>72</v>
      </c>
      <c r="D82" s="130" t="s">
        <v>80</v>
      </c>
      <c r="E82" s="131" t="s">
        <v>81</v>
      </c>
      <c r="F82" s="131" t="s">
        <v>82</v>
      </c>
      <c r="G82" s="132" t="s">
        <v>73</v>
      </c>
      <c r="H82" s="133" t="s">
        <v>83</v>
      </c>
      <c r="I82" s="130" t="s">
        <v>226</v>
      </c>
      <c r="J82" s="132" t="s">
        <v>74</v>
      </c>
      <c r="K82" s="132" t="s">
        <v>75</v>
      </c>
      <c r="L82" s="131" t="s">
        <v>227</v>
      </c>
      <c r="M82" s="134" t="s">
        <v>76</v>
      </c>
      <c r="N82" s="135" t="s">
        <v>77</v>
      </c>
      <c r="O82" s="131" t="s">
        <v>228</v>
      </c>
      <c r="P82" s="132" t="s">
        <v>229</v>
      </c>
      <c r="Q82" s="136" t="s">
        <v>230</v>
      </c>
      <c r="R82" s="136" t="s">
        <v>231</v>
      </c>
      <c r="S82" s="133" t="s">
        <v>94</v>
      </c>
      <c r="T82" s="132" t="s">
        <v>232</v>
      </c>
      <c r="U82" s="137" t="s">
        <v>233</v>
      </c>
      <c r="V82" s="138" t="s">
        <v>95</v>
      </c>
      <c r="W82" s="138"/>
      <c r="X82" s="138"/>
      <c r="Y82" s="138"/>
      <c r="Z82" s="138" t="s">
        <v>96</v>
      </c>
      <c r="AA82" s="130" t="s">
        <v>97</v>
      </c>
      <c r="AB82" s="132" t="s">
        <v>234</v>
      </c>
      <c r="AC82" s="132" t="s">
        <v>85</v>
      </c>
      <c r="AD82" s="132" t="s">
        <v>86</v>
      </c>
      <c r="AE82" s="132" t="s">
        <v>87</v>
      </c>
      <c r="AF82" s="131" t="s">
        <v>98</v>
      </c>
      <c r="AG82" s="132" t="s">
        <v>88</v>
      </c>
      <c r="AH82" s="132" t="s">
        <v>89</v>
      </c>
      <c r="AI82" s="132" t="s">
        <v>90</v>
      </c>
      <c r="AJ82" s="137" t="s">
        <v>91</v>
      </c>
      <c r="AK82" s="137" t="s">
        <v>92</v>
      </c>
      <c r="AL82" s="139" t="s">
        <v>93</v>
      </c>
      <c r="AM82" s="242" t="s">
        <v>21</v>
      </c>
      <c r="AN82" s="503" t="s">
        <v>298</v>
      </c>
      <c r="AO82" s="504" t="s">
        <v>299</v>
      </c>
      <c r="AP82" s="504" t="s">
        <v>300</v>
      </c>
      <c r="AQ82" s="505" t="s">
        <v>301</v>
      </c>
      <c r="AR82" s="506" t="s">
        <v>302</v>
      </c>
      <c r="AS82" s="1019"/>
      <c r="AT82" s="1020"/>
      <c r="AU82" s="1058"/>
      <c r="AV82" s="1059"/>
      <c r="AW82" s="1100"/>
      <c r="AX82" s="1101"/>
      <c r="AY82" s="1102"/>
      <c r="AZ82" s="1100"/>
      <c r="BA82" s="1101"/>
      <c r="BB82" s="1107"/>
      <c r="BC82" s="1108"/>
      <c r="BD82" s="1101"/>
      <c r="BE82" s="1103"/>
      <c r="BF82" s="1104"/>
      <c r="BG82" s="1101"/>
      <c r="BH82" s="1102"/>
      <c r="BI82" s="1100"/>
      <c r="BJ82" s="1105"/>
      <c r="BK82" s="1106"/>
      <c r="BL82" s="1100"/>
      <c r="BM82" s="1117"/>
    </row>
    <row r="83" spans="1:65" ht="35.1" customHeight="1" x14ac:dyDescent="0.3">
      <c r="A83" s="6" t="s">
        <v>51</v>
      </c>
      <c r="C83" s="115" t="s">
        <v>191</v>
      </c>
      <c r="D83" s="116" t="s">
        <v>183</v>
      </c>
      <c r="E83" s="116" t="s">
        <v>185</v>
      </c>
      <c r="F83" s="116" t="s">
        <v>183</v>
      </c>
      <c r="G83" s="116" t="s">
        <v>184</v>
      </c>
      <c r="H83" s="116" t="s">
        <v>54</v>
      </c>
      <c r="I83" s="116" t="s">
        <v>183</v>
      </c>
      <c r="J83" s="116" t="s">
        <v>53</v>
      </c>
      <c r="K83" s="116" t="s">
        <v>184</v>
      </c>
      <c r="L83" s="116" t="s">
        <v>185</v>
      </c>
      <c r="M83" s="116" t="s">
        <v>192</v>
      </c>
      <c r="N83" s="116" t="s">
        <v>53</v>
      </c>
      <c r="O83" s="116" t="s">
        <v>183</v>
      </c>
      <c r="P83" s="116" t="s">
        <v>238</v>
      </c>
      <c r="Q83" s="116" t="s">
        <v>54</v>
      </c>
      <c r="R83" s="116" t="s">
        <v>236</v>
      </c>
      <c r="S83" s="116" t="s">
        <v>54</v>
      </c>
      <c r="T83" s="116" t="s">
        <v>100</v>
      </c>
      <c r="U83" s="117" t="s">
        <v>52</v>
      </c>
      <c r="V83" s="118" t="s">
        <v>185</v>
      </c>
      <c r="W83" s="118"/>
      <c r="X83" s="118"/>
      <c r="Y83" s="118"/>
      <c r="Z83" s="116" t="s">
        <v>185</v>
      </c>
      <c r="AA83" s="116" t="s">
        <v>185</v>
      </c>
      <c r="AB83" s="116" t="s">
        <v>235</v>
      </c>
      <c r="AC83" s="116" t="s">
        <v>53</v>
      </c>
      <c r="AD83" s="116" t="s">
        <v>84</v>
      </c>
      <c r="AE83" s="118" t="s">
        <v>237</v>
      </c>
      <c r="AF83" s="116" t="s">
        <v>183</v>
      </c>
      <c r="AG83" s="116" t="s">
        <v>184</v>
      </c>
      <c r="AH83" s="116" t="s">
        <v>184</v>
      </c>
      <c r="AI83" s="116" t="s">
        <v>184</v>
      </c>
      <c r="AJ83" s="116" t="s">
        <v>100</v>
      </c>
      <c r="AK83" s="116" t="s">
        <v>191</v>
      </c>
      <c r="AL83" s="119" t="s">
        <v>53</v>
      </c>
      <c r="AM83" s="241" t="s">
        <v>51</v>
      </c>
      <c r="AN83" s="498" t="s">
        <v>292</v>
      </c>
      <c r="AO83" s="499" t="s">
        <v>293</v>
      </c>
      <c r="AP83" s="499" t="s">
        <v>294</v>
      </c>
      <c r="AQ83" s="499" t="s">
        <v>295</v>
      </c>
      <c r="AR83" s="500" t="s">
        <v>296</v>
      </c>
      <c r="AS83" s="1019"/>
      <c r="AT83" s="1020"/>
      <c r="AU83" s="1058" t="s">
        <v>260</v>
      </c>
      <c r="AV83" s="1059"/>
      <c r="AW83" s="1100" t="s">
        <v>264</v>
      </c>
      <c r="AX83" s="1101">
        <f>AX59+AX71</f>
        <v>3884</v>
      </c>
      <c r="AY83" s="1102"/>
      <c r="AZ83" s="1100" t="s">
        <v>266</v>
      </c>
      <c r="BA83" s="1101">
        <v>644.37416000000007</v>
      </c>
      <c r="BB83" s="1107"/>
      <c r="BC83" s="1108" t="s">
        <v>268</v>
      </c>
      <c r="BD83" s="1101">
        <f>BD59+BD71</f>
        <v>0</v>
      </c>
      <c r="BE83" s="1103"/>
      <c r="BF83" s="1104" t="s">
        <v>270</v>
      </c>
      <c r="BG83" s="1101">
        <f>BG59+BG71</f>
        <v>644.37416000000007</v>
      </c>
      <c r="BH83" s="1102"/>
      <c r="BI83" s="1100" t="s">
        <v>262</v>
      </c>
      <c r="BJ83" s="1105">
        <f t="shared" ref="BJ83" si="7">IFERROR(BG83/AX83,"")</f>
        <v>0.16590477857878477</v>
      </c>
      <c r="BK83" s="1106"/>
      <c r="BL83" s="1100" t="s">
        <v>263</v>
      </c>
      <c r="BM83" s="1117"/>
    </row>
    <row r="84" spans="1:65" ht="35.1" customHeight="1" x14ac:dyDescent="0.3">
      <c r="A84" s="6" t="s">
        <v>161</v>
      </c>
      <c r="C84" s="49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50"/>
      <c r="U84" s="104"/>
      <c r="V84" s="51"/>
      <c r="W84" s="51"/>
      <c r="X84" s="51"/>
      <c r="Y84" s="51"/>
      <c r="Z84" s="50"/>
      <c r="AA84" s="50"/>
      <c r="AB84" s="43"/>
      <c r="AC84" s="43"/>
      <c r="AD84" s="43"/>
      <c r="AE84" s="42"/>
      <c r="AF84" s="43"/>
      <c r="AG84" s="43"/>
      <c r="AH84" s="43"/>
      <c r="AI84" s="43"/>
      <c r="AJ84" s="43"/>
      <c r="AK84" s="43"/>
      <c r="AL84" s="110"/>
      <c r="AM84" s="241" t="s">
        <v>161</v>
      </c>
      <c r="AN84" s="120"/>
      <c r="AO84" s="81"/>
      <c r="AP84" s="81"/>
      <c r="AQ84" s="116"/>
      <c r="AR84" s="295"/>
      <c r="AS84" s="1019"/>
      <c r="AT84" s="1020"/>
      <c r="AU84" s="1058"/>
      <c r="AV84" s="1059"/>
      <c r="AW84" s="1100"/>
      <c r="AX84" s="1101"/>
      <c r="AY84" s="1102"/>
      <c r="AZ84" s="1100"/>
      <c r="BA84" s="1101"/>
      <c r="BB84" s="1107"/>
      <c r="BC84" s="1108"/>
      <c r="BD84" s="1101"/>
      <c r="BE84" s="1103"/>
      <c r="BF84" s="1104"/>
      <c r="BG84" s="1101"/>
      <c r="BH84" s="1102"/>
      <c r="BI84" s="1100"/>
      <c r="BJ84" s="1105"/>
      <c r="BK84" s="1106"/>
      <c r="BL84" s="1100"/>
      <c r="BM84" s="1117"/>
    </row>
    <row r="85" spans="1:65" ht="35.1" customHeight="1" x14ac:dyDescent="0.3">
      <c r="A85" s="20" t="s">
        <v>55</v>
      </c>
      <c r="C85" s="415"/>
      <c r="D85" s="416">
        <v>46085</v>
      </c>
      <c r="E85" s="416"/>
      <c r="F85" s="416">
        <v>46079</v>
      </c>
      <c r="G85" s="416"/>
      <c r="H85" s="416"/>
      <c r="I85" s="416"/>
      <c r="J85" s="416"/>
      <c r="K85" s="416"/>
      <c r="L85" s="416"/>
      <c r="M85" s="416"/>
      <c r="N85" s="416"/>
      <c r="O85" s="416"/>
      <c r="P85" s="416"/>
      <c r="Q85" s="416"/>
      <c r="R85" s="416"/>
      <c r="S85" s="416"/>
      <c r="T85" s="428"/>
      <c r="U85" s="429"/>
      <c r="V85" s="430"/>
      <c r="W85" s="430"/>
      <c r="X85" s="430"/>
      <c r="Y85" s="430"/>
      <c r="Z85" s="430">
        <v>46078</v>
      </c>
      <c r="AA85" s="428"/>
      <c r="AB85" s="416"/>
      <c r="AC85" s="416"/>
      <c r="AD85" s="416"/>
      <c r="AE85" s="417"/>
      <c r="AF85" s="416"/>
      <c r="AG85" s="416"/>
      <c r="AH85" s="416"/>
      <c r="AI85" s="416"/>
      <c r="AJ85" s="416"/>
      <c r="AK85" s="416"/>
      <c r="AL85" s="418"/>
      <c r="AM85" s="247" t="s">
        <v>55</v>
      </c>
      <c r="AN85" s="296"/>
      <c r="AO85" s="94"/>
      <c r="AP85" s="94"/>
      <c r="AQ85" s="94"/>
      <c r="AR85" s="297"/>
      <c r="AS85" s="1019"/>
      <c r="AT85" s="1020"/>
      <c r="AU85" s="1058" t="s">
        <v>261</v>
      </c>
      <c r="AV85" s="1059"/>
      <c r="AW85" s="1100" t="s">
        <v>264</v>
      </c>
      <c r="AX85" s="1101">
        <f>AX62+AX74</f>
        <v>1139</v>
      </c>
      <c r="AY85" s="1102"/>
      <c r="AZ85" s="1100" t="s">
        <v>266</v>
      </c>
      <c r="BA85" s="1101">
        <v>0</v>
      </c>
      <c r="BB85" s="1107"/>
      <c r="BC85" s="1108" t="s">
        <v>268</v>
      </c>
      <c r="BD85" s="1101">
        <f>BD62+BD74</f>
        <v>0</v>
      </c>
      <c r="BE85" s="1103"/>
      <c r="BF85" s="1104" t="s">
        <v>270</v>
      </c>
      <c r="BG85" s="1101">
        <f>BG62+BG74</f>
        <v>0</v>
      </c>
      <c r="BH85" s="1102"/>
      <c r="BI85" s="1100" t="s">
        <v>262</v>
      </c>
      <c r="BJ85" s="1105">
        <f t="shared" ref="BJ85" si="8">IFERROR(BG85/AX85,"")</f>
        <v>0</v>
      </c>
      <c r="BK85" s="1106"/>
      <c r="BL85" s="1100" t="s">
        <v>263</v>
      </c>
      <c r="BM85" s="1117"/>
    </row>
    <row r="86" spans="1:65" ht="35.1" customHeight="1" thickBot="1" x14ac:dyDescent="0.35">
      <c r="A86" s="6" t="s">
        <v>56</v>
      </c>
      <c r="C86" s="419"/>
      <c r="D86" s="420" t="s">
        <v>273</v>
      </c>
      <c r="E86" s="420"/>
      <c r="F86" s="420" t="s">
        <v>277</v>
      </c>
      <c r="G86" s="420"/>
      <c r="H86" s="421"/>
      <c r="I86" s="421"/>
      <c r="J86" s="421"/>
      <c r="K86" s="420"/>
      <c r="L86" s="422"/>
      <c r="M86" s="420"/>
      <c r="N86" s="420"/>
      <c r="O86" s="420"/>
      <c r="P86" s="423"/>
      <c r="Q86" s="414"/>
      <c r="R86" s="420"/>
      <c r="S86" s="420"/>
      <c r="T86" s="420"/>
      <c r="U86" s="424"/>
      <c r="V86" s="425"/>
      <c r="W86" s="425"/>
      <c r="X86" s="425"/>
      <c r="Y86" s="425"/>
      <c r="Z86" s="425" t="s">
        <v>273</v>
      </c>
      <c r="AA86" s="421"/>
      <c r="AB86" s="421"/>
      <c r="AC86" s="421"/>
      <c r="AD86" s="421"/>
      <c r="AE86" s="426"/>
      <c r="AF86" s="420"/>
      <c r="AG86" s="420"/>
      <c r="AH86" s="420"/>
      <c r="AI86" s="420"/>
      <c r="AJ86" s="420"/>
      <c r="AK86" s="420"/>
      <c r="AL86" s="427"/>
      <c r="AM86" s="241" t="s">
        <v>56</v>
      </c>
      <c r="AN86" s="298"/>
      <c r="AO86" s="96"/>
      <c r="AP86" s="96"/>
      <c r="AQ86" s="96"/>
      <c r="AR86" s="299"/>
      <c r="AS86" s="1021"/>
      <c r="AT86" s="1022"/>
      <c r="AU86" s="1165"/>
      <c r="AV86" s="1166"/>
      <c r="AW86" s="1111"/>
      <c r="AX86" s="1112"/>
      <c r="AY86" s="1113"/>
      <c r="AZ86" s="1111"/>
      <c r="BA86" s="1112"/>
      <c r="BB86" s="1114"/>
      <c r="BC86" s="1115"/>
      <c r="BD86" s="1112"/>
      <c r="BE86" s="1163"/>
      <c r="BF86" s="1164"/>
      <c r="BG86" s="1112"/>
      <c r="BH86" s="1113"/>
      <c r="BI86" s="1111"/>
      <c r="BJ86" s="1109"/>
      <c r="BK86" s="1110"/>
      <c r="BL86" s="1111"/>
      <c r="BM86" s="1162"/>
    </row>
    <row r="87" spans="1:65" ht="35.1" customHeight="1" x14ac:dyDescent="0.3">
      <c r="A87" s="61" t="s">
        <v>55</v>
      </c>
      <c r="C87" s="95"/>
      <c r="D87" s="96"/>
      <c r="E87" s="96"/>
      <c r="F87" s="96"/>
      <c r="G87" s="96"/>
      <c r="H87" s="97"/>
      <c r="I87" s="97"/>
      <c r="J87" s="97"/>
      <c r="K87" s="96"/>
      <c r="L87" s="98"/>
      <c r="M87" s="96"/>
      <c r="N87" s="96"/>
      <c r="O87" s="96"/>
      <c r="P87" s="96"/>
      <c r="Q87" s="96"/>
      <c r="R87" s="96"/>
      <c r="S87" s="96"/>
      <c r="T87" s="99"/>
      <c r="U87" s="102"/>
      <c r="V87" s="100"/>
      <c r="W87" s="100"/>
      <c r="X87" s="100"/>
      <c r="Y87" s="100"/>
      <c r="Z87" s="99"/>
      <c r="AA87" s="79"/>
      <c r="AB87" s="96"/>
      <c r="AC87" s="96"/>
      <c r="AD87" s="96"/>
      <c r="AE87" s="106"/>
      <c r="AF87" s="96"/>
      <c r="AG87" s="96"/>
      <c r="AH87" s="96"/>
      <c r="AI87" s="96"/>
      <c r="AJ87" s="96"/>
      <c r="AK87" s="96"/>
      <c r="AL87" s="108"/>
      <c r="AM87" s="248" t="s">
        <v>55</v>
      </c>
      <c r="AN87" s="300"/>
      <c r="AO87" s="26"/>
      <c r="AP87" s="26"/>
      <c r="AQ87" s="26"/>
      <c r="AR87" s="301"/>
      <c r="AS87" s="1017" t="s">
        <v>288</v>
      </c>
      <c r="AT87" s="1018"/>
      <c r="AU87" s="1023" t="s">
        <v>272</v>
      </c>
      <c r="AV87" s="1024"/>
      <c r="AW87" s="1031" t="s">
        <v>264</v>
      </c>
      <c r="AX87" s="1005">
        <v>537</v>
      </c>
      <c r="AY87" s="1005"/>
      <c r="AZ87" s="937" t="s">
        <v>271</v>
      </c>
      <c r="BA87" s="1005">
        <f>BG77</f>
        <v>213</v>
      </c>
      <c r="BB87" s="1005"/>
      <c r="BC87" s="937" t="s">
        <v>262</v>
      </c>
      <c r="BD87" s="1007">
        <f>BA87/AX87</f>
        <v>0.39664804469273746</v>
      </c>
      <c r="BE87" s="1008"/>
      <c r="BF87" s="993" t="s">
        <v>290</v>
      </c>
      <c r="BG87" s="994"/>
      <c r="BH87" s="995"/>
      <c r="BI87" s="1000" cm="1">
        <f t="array" ref="BI87">SUM((BA87:BB90)/SUM(AX87:AY90))</f>
        <v>7.4846304402263752E-2</v>
      </c>
      <c r="BJ87" s="965"/>
      <c r="BK87" s="965"/>
      <c r="BL87" s="965"/>
      <c r="BM87" s="966"/>
    </row>
    <row r="88" spans="1:65" ht="35.1" customHeight="1" thickBot="1" x14ac:dyDescent="0.35">
      <c r="A88" s="62" t="s">
        <v>56</v>
      </c>
      <c r="C88" s="29"/>
      <c r="D88" s="26"/>
      <c r="E88" s="26"/>
      <c r="F88" s="26"/>
      <c r="G88" s="26"/>
      <c r="H88" s="26"/>
      <c r="I88" s="59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7"/>
      <c r="U88" s="103"/>
      <c r="V88" s="28"/>
      <c r="W88" s="28"/>
      <c r="X88" s="28"/>
      <c r="Y88" s="28"/>
      <c r="Z88" s="27"/>
      <c r="AA88" s="60"/>
      <c r="AB88" s="26"/>
      <c r="AC88" s="26"/>
      <c r="AD88" s="26"/>
      <c r="AE88" s="107"/>
      <c r="AF88" s="26"/>
      <c r="AG88" s="26"/>
      <c r="AH88" s="26"/>
      <c r="AI88" s="26"/>
      <c r="AJ88" s="26"/>
      <c r="AK88" s="26"/>
      <c r="AL88" s="109"/>
      <c r="AM88" s="249" t="s">
        <v>56</v>
      </c>
      <c r="AN88" s="300"/>
      <c r="AO88" s="26"/>
      <c r="AP88" s="26"/>
      <c r="AQ88" s="26"/>
      <c r="AR88" s="301"/>
      <c r="AS88" s="1019"/>
      <c r="AT88" s="1020"/>
      <c r="AU88" s="1025"/>
      <c r="AV88" s="1026"/>
      <c r="AW88" s="1032"/>
      <c r="AX88" s="1006"/>
      <c r="AY88" s="1006"/>
      <c r="AZ88" s="1003"/>
      <c r="BA88" s="1006"/>
      <c r="BB88" s="1006"/>
      <c r="BC88" s="1003"/>
      <c r="BD88" s="1009"/>
      <c r="BE88" s="1010"/>
      <c r="BF88" s="996"/>
      <c r="BG88" s="996"/>
      <c r="BH88" s="997"/>
      <c r="BI88" s="1001"/>
      <c r="BJ88" s="967"/>
      <c r="BK88" s="967"/>
      <c r="BL88" s="967"/>
      <c r="BM88" s="968"/>
    </row>
    <row r="89" spans="1:65" ht="35.1" customHeight="1" x14ac:dyDescent="0.3">
      <c r="A89" s="6" t="s">
        <v>57</v>
      </c>
      <c r="C89" s="121" t="s">
        <v>241</v>
      </c>
      <c r="D89" s="122" t="s">
        <v>196</v>
      </c>
      <c r="E89" s="122" t="s">
        <v>239</v>
      </c>
      <c r="F89" s="122" t="s">
        <v>198</v>
      </c>
      <c r="G89" s="122" t="s">
        <v>242</v>
      </c>
      <c r="H89" s="122" t="s">
        <v>240</v>
      </c>
      <c r="I89" s="122" t="s">
        <v>196</v>
      </c>
      <c r="J89" s="122" t="s">
        <v>243</v>
      </c>
      <c r="K89" s="122" t="s">
        <v>244</v>
      </c>
      <c r="L89" s="122" t="s">
        <v>198</v>
      </c>
      <c r="M89" s="122" t="s">
        <v>171</v>
      </c>
      <c r="N89" s="122" t="s">
        <v>245</v>
      </c>
      <c r="O89" s="122" t="s">
        <v>198</v>
      </c>
      <c r="P89" s="122" t="s">
        <v>209</v>
      </c>
      <c r="Q89" s="122" t="s">
        <v>197</v>
      </c>
      <c r="R89" s="122" t="s">
        <v>199</v>
      </c>
      <c r="S89" s="122" t="s">
        <v>195</v>
      </c>
      <c r="T89" s="122" t="s">
        <v>214</v>
      </c>
      <c r="U89" s="123" t="s">
        <v>243</v>
      </c>
      <c r="V89" s="124" t="s">
        <v>198</v>
      </c>
      <c r="W89" s="124"/>
      <c r="X89" s="124"/>
      <c r="Y89" s="124"/>
      <c r="Z89" s="122" t="s">
        <v>196</v>
      </c>
      <c r="AA89" s="122" t="s">
        <v>239</v>
      </c>
      <c r="AB89" s="122" t="s">
        <v>207</v>
      </c>
      <c r="AC89" s="122" t="s">
        <v>246</v>
      </c>
      <c r="AD89" s="122" t="s">
        <v>247</v>
      </c>
      <c r="AE89" s="124" t="s">
        <v>248</v>
      </c>
      <c r="AF89" s="122" t="s">
        <v>196</v>
      </c>
      <c r="AG89" s="122" t="s">
        <v>201</v>
      </c>
      <c r="AH89" s="122" t="s">
        <v>202</v>
      </c>
      <c r="AI89" s="122" t="s">
        <v>215</v>
      </c>
      <c r="AJ89" s="122" t="s">
        <v>212</v>
      </c>
      <c r="AK89" s="122" t="s">
        <v>213</v>
      </c>
      <c r="AL89" s="125" t="s">
        <v>179</v>
      </c>
      <c r="AM89" s="241" t="s">
        <v>57</v>
      </c>
      <c r="AN89" s="121" t="s">
        <v>247</v>
      </c>
      <c r="AO89" s="122" t="s">
        <v>297</v>
      </c>
      <c r="AP89" s="122" t="s">
        <v>174</v>
      </c>
      <c r="AQ89" s="122" t="s">
        <v>179</v>
      </c>
      <c r="AR89" s="126" t="s">
        <v>219</v>
      </c>
      <c r="AS89" s="1019"/>
      <c r="AT89" s="1020"/>
      <c r="AU89" s="1027" t="s">
        <v>287</v>
      </c>
      <c r="AV89" s="1028"/>
      <c r="AW89" s="1004" t="s">
        <v>264</v>
      </c>
      <c r="AX89" s="1011">
        <v>19430</v>
      </c>
      <c r="AY89" s="1011"/>
      <c r="AZ89" s="1004" t="s">
        <v>271</v>
      </c>
      <c r="BA89" s="1011">
        <f>SUM(BG80:BH86)</f>
        <v>1281.4561600000002</v>
      </c>
      <c r="BB89" s="1011"/>
      <c r="BC89" s="1004" t="s">
        <v>262</v>
      </c>
      <c r="BD89" s="1013">
        <f>BA89/AX89</f>
        <v>6.5952452907874437E-2</v>
      </c>
      <c r="BE89" s="1014"/>
      <c r="BF89" s="996"/>
      <c r="BG89" s="996"/>
      <c r="BH89" s="997"/>
      <c r="BI89" s="1001"/>
      <c r="BJ89" s="967"/>
      <c r="BK89" s="967"/>
      <c r="BL89" s="967"/>
      <c r="BM89" s="968"/>
    </row>
    <row r="90" spans="1:65" ht="35.1" customHeight="1" thickBot="1" x14ac:dyDescent="0.35">
      <c r="A90" s="47" t="s">
        <v>58</v>
      </c>
      <c r="C90" s="49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50"/>
      <c r="U90" s="104"/>
      <c r="V90" s="51"/>
      <c r="W90" s="51"/>
      <c r="X90" s="51"/>
      <c r="Y90" s="51"/>
      <c r="Z90" s="50"/>
      <c r="AA90" s="50"/>
      <c r="AB90" s="43"/>
      <c r="AC90" s="43"/>
      <c r="AD90" s="43"/>
      <c r="AE90" s="42"/>
      <c r="AF90" s="43"/>
      <c r="AG90" s="43"/>
      <c r="AH90" s="43"/>
      <c r="AI90" s="43"/>
      <c r="AJ90" s="43"/>
      <c r="AK90" s="43"/>
      <c r="AL90" s="110"/>
      <c r="AM90" s="250" t="s">
        <v>58</v>
      </c>
      <c r="AN90" s="49"/>
      <c r="AO90" s="43"/>
      <c r="AP90" s="43"/>
      <c r="AQ90" s="43"/>
      <c r="AR90" s="302"/>
      <c r="AS90" s="1021"/>
      <c r="AT90" s="1022"/>
      <c r="AU90" s="1029"/>
      <c r="AV90" s="1030"/>
      <c r="AW90" s="984"/>
      <c r="AX90" s="1012"/>
      <c r="AY90" s="1012"/>
      <c r="AZ90" s="984"/>
      <c r="BA90" s="1012"/>
      <c r="BB90" s="1012"/>
      <c r="BC90" s="984"/>
      <c r="BD90" s="1015"/>
      <c r="BE90" s="1016"/>
      <c r="BF90" s="998"/>
      <c r="BG90" s="998"/>
      <c r="BH90" s="999"/>
      <c r="BI90" s="1002"/>
      <c r="BJ90" s="969"/>
      <c r="BK90" s="969"/>
      <c r="BL90" s="969"/>
      <c r="BM90" s="970"/>
    </row>
    <row r="91" spans="1:65" ht="35.1" customHeight="1" x14ac:dyDescent="0.3">
      <c r="A91" s="53" t="s">
        <v>59</v>
      </c>
      <c r="C91" s="49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50"/>
      <c r="U91" s="104"/>
      <c r="V91" s="51"/>
      <c r="W91" s="51"/>
      <c r="X91" s="51"/>
      <c r="Y91" s="51"/>
      <c r="Z91" s="50"/>
      <c r="AA91" s="50"/>
      <c r="AB91" s="43"/>
      <c r="AC91" s="43"/>
      <c r="AD91" s="43"/>
      <c r="AE91" s="42"/>
      <c r="AF91" s="43"/>
      <c r="AG91" s="43"/>
      <c r="AH91" s="43"/>
      <c r="AI91" s="43"/>
      <c r="AJ91" s="43"/>
      <c r="AK91" s="43"/>
      <c r="AL91" s="110"/>
      <c r="AM91" s="251" t="s">
        <v>59</v>
      </c>
      <c r="AN91" s="7"/>
      <c r="AO91" s="8"/>
      <c r="AP91" s="8"/>
      <c r="AQ91" s="8"/>
      <c r="AR91" s="303"/>
      <c r="AS91" s="1168" t="s">
        <v>291</v>
      </c>
      <c r="AT91" s="1169"/>
      <c r="AU91" s="1169"/>
      <c r="AV91" s="1169"/>
      <c r="AW91" s="1169"/>
      <c r="AX91" s="1169"/>
      <c r="AY91" s="1169"/>
      <c r="AZ91" s="1169"/>
      <c r="BA91" s="1169"/>
      <c r="BB91" s="1169"/>
      <c r="BC91" s="1169"/>
      <c r="BD91" s="1169"/>
      <c r="BE91" s="1169"/>
      <c r="BF91" s="1169"/>
      <c r="BG91" s="1169"/>
      <c r="BH91" s="1169"/>
      <c r="BI91" s="1169"/>
      <c r="BJ91" s="1169"/>
      <c r="BK91" s="1169"/>
      <c r="BL91" s="1169"/>
      <c r="BM91" s="1169"/>
    </row>
    <row r="92" spans="1:65" ht="35.1" customHeight="1" thickBot="1" x14ac:dyDescent="0.35">
      <c r="A92" s="54" t="s">
        <v>60</v>
      </c>
      <c r="C92" s="376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55"/>
      <c r="U92" s="105"/>
      <c r="V92" s="56"/>
      <c r="W92" s="56"/>
      <c r="X92" s="56"/>
      <c r="Y92" s="56"/>
      <c r="Z92" s="55"/>
      <c r="AA92" s="55"/>
      <c r="AB92" s="377"/>
      <c r="AC92" s="377"/>
      <c r="AD92" s="377"/>
      <c r="AE92" s="378"/>
      <c r="AF92" s="377"/>
      <c r="AG92" s="377"/>
      <c r="AH92" s="377"/>
      <c r="AI92" s="377"/>
      <c r="AJ92" s="377"/>
      <c r="AK92" s="377"/>
      <c r="AL92" s="379"/>
      <c r="AM92" s="252" t="s">
        <v>60</v>
      </c>
      <c r="AN92" s="9"/>
      <c r="AO92" s="11"/>
      <c r="AP92" s="10"/>
      <c r="AQ92" s="10"/>
      <c r="AR92" s="304"/>
      <c r="AS92" s="1170"/>
      <c r="AT92" s="1171"/>
      <c r="AU92" s="1171"/>
      <c r="AV92" s="1171"/>
      <c r="AW92" s="1171"/>
      <c r="AX92" s="1171"/>
      <c r="AY92" s="1171"/>
      <c r="AZ92" s="1171"/>
      <c r="BA92" s="1171"/>
      <c r="BB92" s="1171"/>
      <c r="BC92" s="1171"/>
      <c r="BD92" s="1171"/>
      <c r="BE92" s="1171"/>
      <c r="BF92" s="1171"/>
      <c r="BG92" s="1171"/>
      <c r="BH92" s="1171"/>
      <c r="BI92" s="1171"/>
      <c r="BJ92" s="1171"/>
      <c r="BK92" s="1171"/>
      <c r="BL92" s="1171"/>
      <c r="BM92" s="1171"/>
    </row>
    <row r="95" spans="1:65" ht="16.5" customHeight="1" x14ac:dyDescent="0.3">
      <c r="F95" s="380"/>
    </row>
    <row r="96" spans="1:65" ht="17.25" customHeight="1" x14ac:dyDescent="0.3">
      <c r="F96" s="380"/>
    </row>
    <row r="97" spans="6:6" x14ac:dyDescent="0.3">
      <c r="F97" s="380"/>
    </row>
  </sheetData>
  <mergeCells count="210">
    <mergeCell ref="AS91:BM92"/>
    <mergeCell ref="A1:A2"/>
    <mergeCell ref="BM85:BM86"/>
    <mergeCell ref="BM83:BM84"/>
    <mergeCell ref="BM80:BM82"/>
    <mergeCell ref="BJ85:BK86"/>
    <mergeCell ref="BJ83:BK84"/>
    <mergeCell ref="BJ80:BK82"/>
    <mergeCell ref="BL85:BL86"/>
    <mergeCell ref="BL83:BL84"/>
    <mergeCell ref="BL80:BL82"/>
    <mergeCell ref="BG85:BH86"/>
    <mergeCell ref="BG83:BH84"/>
    <mergeCell ref="BG80:BH82"/>
    <mergeCell ref="BI85:BI86"/>
    <mergeCell ref="BI83:BI84"/>
    <mergeCell ref="BI80:BI82"/>
    <mergeCell ref="BD85:BE86"/>
    <mergeCell ref="BD83:BE84"/>
    <mergeCell ref="BD80:BE82"/>
    <mergeCell ref="BF85:BF86"/>
    <mergeCell ref="BF83:BF84"/>
    <mergeCell ref="BF80:BF82"/>
    <mergeCell ref="BA85:BB86"/>
    <mergeCell ref="BA83:BB84"/>
    <mergeCell ref="BA80:BB82"/>
    <mergeCell ref="BC85:BC86"/>
    <mergeCell ref="BC83:BC84"/>
    <mergeCell ref="BC80:BC82"/>
    <mergeCell ref="AX85:AY86"/>
    <mergeCell ref="AX83:AY84"/>
    <mergeCell ref="AX80:AY82"/>
    <mergeCell ref="AZ85:AZ86"/>
    <mergeCell ref="AZ83:AZ84"/>
    <mergeCell ref="AZ80:AZ82"/>
    <mergeCell ref="AW80:AW82"/>
    <mergeCell ref="AW85:AW86"/>
    <mergeCell ref="AW83:AW84"/>
    <mergeCell ref="AU80:AV82"/>
    <mergeCell ref="AU83:AV84"/>
    <mergeCell ref="AU85:AV86"/>
    <mergeCell ref="AS53:AT64"/>
    <mergeCell ref="AS65:AT76"/>
    <mergeCell ref="BI56:BI58"/>
    <mergeCell ref="BG74:BH76"/>
    <mergeCell ref="BI74:BI76"/>
    <mergeCell ref="AW65:AW67"/>
    <mergeCell ref="AX65:AY67"/>
    <mergeCell ref="AZ65:AZ67"/>
    <mergeCell ref="BA65:BB67"/>
    <mergeCell ref="BC65:BC67"/>
    <mergeCell ref="BD65:BE67"/>
    <mergeCell ref="BF65:BF67"/>
    <mergeCell ref="BG65:BH67"/>
    <mergeCell ref="BI65:BI67"/>
    <mergeCell ref="AU71:AV73"/>
    <mergeCell ref="AU74:AV76"/>
    <mergeCell ref="AU77:AV79"/>
    <mergeCell ref="AU56:AV58"/>
    <mergeCell ref="BJ56:BK58"/>
    <mergeCell ref="BL56:BL58"/>
    <mergeCell ref="BM56:BM58"/>
    <mergeCell ref="AW77:AW79"/>
    <mergeCell ref="AX77:AY79"/>
    <mergeCell ref="AZ77:AZ79"/>
    <mergeCell ref="BA77:BB79"/>
    <mergeCell ref="BC77:BC79"/>
    <mergeCell ref="BD77:BE79"/>
    <mergeCell ref="BF77:BF79"/>
    <mergeCell ref="BG77:BH79"/>
    <mergeCell ref="BI77:BI79"/>
    <mergeCell ref="BJ77:BK79"/>
    <mergeCell ref="BL77:BL79"/>
    <mergeCell ref="BM77:BM79"/>
    <mergeCell ref="BA56:BB58"/>
    <mergeCell ref="BC56:BC58"/>
    <mergeCell ref="BD56:BE58"/>
    <mergeCell ref="BF56:BF58"/>
    <mergeCell ref="BG56:BH58"/>
    <mergeCell ref="BL74:BL76"/>
    <mergeCell ref="BM74:BM76"/>
    <mergeCell ref="BD74:BE76"/>
    <mergeCell ref="BF74:BF76"/>
    <mergeCell ref="AS50:AT52"/>
    <mergeCell ref="AU50:BM52"/>
    <mergeCell ref="AW53:AW55"/>
    <mergeCell ref="AX53:AY55"/>
    <mergeCell ref="AZ53:AZ55"/>
    <mergeCell ref="BA53:BB55"/>
    <mergeCell ref="BC53:BC55"/>
    <mergeCell ref="BD53:BE55"/>
    <mergeCell ref="BF53:BF55"/>
    <mergeCell ref="BG53:BH55"/>
    <mergeCell ref="BI53:BI55"/>
    <mergeCell ref="BJ74:BK76"/>
    <mergeCell ref="AW74:AW76"/>
    <mergeCell ref="AX74:AY76"/>
    <mergeCell ref="AZ74:AZ76"/>
    <mergeCell ref="BA74:BB76"/>
    <mergeCell ref="BC74:BC76"/>
    <mergeCell ref="BL68:BL70"/>
    <mergeCell ref="BM68:BM70"/>
    <mergeCell ref="AW71:AW73"/>
    <mergeCell ref="AX71:AY73"/>
    <mergeCell ref="AZ71:AZ73"/>
    <mergeCell ref="BA71:BB73"/>
    <mergeCell ref="BC71:BC73"/>
    <mergeCell ref="BD71:BE73"/>
    <mergeCell ref="BF71:BF73"/>
    <mergeCell ref="BG71:BH73"/>
    <mergeCell ref="BI71:BI73"/>
    <mergeCell ref="BJ71:BK73"/>
    <mergeCell ref="BL71:BL73"/>
    <mergeCell ref="BM71:BM73"/>
    <mergeCell ref="BJ65:BK67"/>
    <mergeCell ref="BL65:BL67"/>
    <mergeCell ref="BM65:BM67"/>
    <mergeCell ref="AW68:AW70"/>
    <mergeCell ref="AX68:AY70"/>
    <mergeCell ref="BD68:BE70"/>
    <mergeCell ref="BF68:BF70"/>
    <mergeCell ref="BG68:BH70"/>
    <mergeCell ref="BI68:BI70"/>
    <mergeCell ref="BJ68:BK70"/>
    <mergeCell ref="AZ68:AZ70"/>
    <mergeCell ref="BA68:BB70"/>
    <mergeCell ref="BC68:BC70"/>
    <mergeCell ref="BJ62:BK64"/>
    <mergeCell ref="BL62:BL64"/>
    <mergeCell ref="BM62:BM64"/>
    <mergeCell ref="BG59:BH61"/>
    <mergeCell ref="AW59:AW61"/>
    <mergeCell ref="AX59:AY61"/>
    <mergeCell ref="AZ59:AZ61"/>
    <mergeCell ref="BC59:BC61"/>
    <mergeCell ref="BD59:BE61"/>
    <mergeCell ref="BF59:BF61"/>
    <mergeCell ref="BI59:BI61"/>
    <mergeCell ref="BJ59:BK61"/>
    <mergeCell ref="BL59:BL61"/>
    <mergeCell ref="BA59:BB61"/>
    <mergeCell ref="AU59:AV61"/>
    <mergeCell ref="AU62:AV64"/>
    <mergeCell ref="AU65:AV67"/>
    <mergeCell ref="AU68:AV70"/>
    <mergeCell ref="AS77:AT86"/>
    <mergeCell ref="AN49:AR49"/>
    <mergeCell ref="AS49:BM49"/>
    <mergeCell ref="AU53:AV55"/>
    <mergeCell ref="BJ53:BK55"/>
    <mergeCell ref="BL53:BL55"/>
    <mergeCell ref="BM53:BM55"/>
    <mergeCell ref="AW56:AW58"/>
    <mergeCell ref="AX56:AY58"/>
    <mergeCell ref="AZ56:AZ58"/>
    <mergeCell ref="BM59:BM61"/>
    <mergeCell ref="AW62:AW64"/>
    <mergeCell ref="AX62:AY64"/>
    <mergeCell ref="AZ62:AZ64"/>
    <mergeCell ref="BA62:BB64"/>
    <mergeCell ref="BC62:BC64"/>
    <mergeCell ref="BD62:BE64"/>
    <mergeCell ref="BF62:BF64"/>
    <mergeCell ref="BG62:BH64"/>
    <mergeCell ref="BI62:BI64"/>
    <mergeCell ref="L1:AO1"/>
    <mergeCell ref="AB4:AG4"/>
    <mergeCell ref="AH4:AL4"/>
    <mergeCell ref="AM4:AO4"/>
    <mergeCell ref="S24:S26"/>
    <mergeCell ref="C24:C26"/>
    <mergeCell ref="AA6:AA8"/>
    <mergeCell ref="C49:G49"/>
    <mergeCell ref="H49:N49"/>
    <mergeCell ref="O49:AB49"/>
    <mergeCell ref="C29:F34"/>
    <mergeCell ref="H29:H34"/>
    <mergeCell ref="K29:L34"/>
    <mergeCell ref="N29:P34"/>
    <mergeCell ref="R29:T34"/>
    <mergeCell ref="V29:V30"/>
    <mergeCell ref="C7:Y23"/>
    <mergeCell ref="X24:X26"/>
    <mergeCell ref="Y29:Y34"/>
    <mergeCell ref="U31:V31"/>
    <mergeCell ref="U32:W34"/>
    <mergeCell ref="BF87:BH90"/>
    <mergeCell ref="BI87:BM90"/>
    <mergeCell ref="L2:AO2"/>
    <mergeCell ref="C1:K2"/>
    <mergeCell ref="AZ87:AZ88"/>
    <mergeCell ref="BC87:BC88"/>
    <mergeCell ref="AZ89:AZ90"/>
    <mergeCell ref="BC89:BC90"/>
    <mergeCell ref="BA87:BB88"/>
    <mergeCell ref="BD87:BE88"/>
    <mergeCell ref="BA89:BB90"/>
    <mergeCell ref="BD89:BE90"/>
    <mergeCell ref="AS87:AT90"/>
    <mergeCell ref="AU87:AV88"/>
    <mergeCell ref="AU89:AV90"/>
    <mergeCell ref="AW87:AW88"/>
    <mergeCell ref="AW89:AW90"/>
    <mergeCell ref="AX87:AY88"/>
    <mergeCell ref="AX89:AY90"/>
    <mergeCell ref="AP4:AS4"/>
    <mergeCell ref="AT4:BA4"/>
    <mergeCell ref="BB4:BC4"/>
    <mergeCell ref="BD4:BM4"/>
    <mergeCell ref="AC49:AL49"/>
  </mergeCells>
  <phoneticPr fontId="3" type="noConversion"/>
  <conditionalFormatting sqref="A1">
    <cfRule type="cellIs" dxfId="747" priority="16431" operator="equal">
      <formula>"C"</formula>
    </cfRule>
  </conditionalFormatting>
  <conditionalFormatting sqref="A3">
    <cfRule type="cellIs" dxfId="746" priority="16432" operator="equal">
      <formula>"P"</formula>
    </cfRule>
  </conditionalFormatting>
  <conditionalFormatting sqref="A1:C1 B2">
    <cfRule type="cellIs" dxfId="745" priority="13900" operator="equal">
      <formula>"P"</formula>
    </cfRule>
  </conditionalFormatting>
  <conditionalFormatting sqref="A4:Y4">
    <cfRule type="cellIs" dxfId="744" priority="7921" operator="equal">
      <formula>"C"</formula>
    </cfRule>
    <cfRule type="cellIs" dxfId="743" priority="7922" operator="equal">
      <formula>"P"</formula>
    </cfRule>
  </conditionalFormatting>
  <conditionalFormatting sqref="B1:B2 A3">
    <cfRule type="cellIs" dxfId="742" priority="16611" operator="equal">
      <formula>"C"</formula>
    </cfRule>
  </conditionalFormatting>
  <conditionalFormatting sqref="C1">
    <cfRule type="cellIs" dxfId="741" priority="16609" operator="equal">
      <formula>"C"</formula>
    </cfRule>
  </conditionalFormatting>
  <conditionalFormatting sqref="C54:C70">
    <cfRule type="cellIs" dxfId="740" priority="782" operator="equal">
      <formula>"C"</formula>
    </cfRule>
    <cfRule type="cellIs" dxfId="739" priority="783" operator="equal">
      <formula>"P"</formula>
    </cfRule>
  </conditionalFormatting>
  <conditionalFormatting sqref="C72:C73">
    <cfRule type="cellIs" dxfId="738" priority="900" operator="equal">
      <formula>"C"</formula>
    </cfRule>
    <cfRule type="cellIs" dxfId="737" priority="901" operator="equal">
      <formula>"P"</formula>
    </cfRule>
  </conditionalFormatting>
  <conditionalFormatting sqref="C75:C77">
    <cfRule type="cellIs" dxfId="736" priority="902" operator="equal">
      <formula>"C"</formula>
    </cfRule>
    <cfRule type="cellIs" dxfId="735" priority="903" operator="equal">
      <formula>"P"</formula>
    </cfRule>
  </conditionalFormatting>
  <conditionalFormatting sqref="C79">
    <cfRule type="cellIs" dxfId="734" priority="4842" operator="equal">
      <formula>"C"</formula>
    </cfRule>
    <cfRule type="cellIs" dxfId="733" priority="4843" operator="equal">
      <formula>"P"</formula>
    </cfRule>
  </conditionalFormatting>
  <conditionalFormatting sqref="C37:E38">
    <cfRule type="cellIs" dxfId="732" priority="13041" operator="equal">
      <formula>"C"</formula>
    </cfRule>
    <cfRule type="cellIs" dxfId="731" priority="13042" operator="equal">
      <formula>"P"</formula>
    </cfRule>
  </conditionalFormatting>
  <conditionalFormatting sqref="C44:E47">
    <cfRule type="cellIs" dxfId="730" priority="13281" operator="equal">
      <formula>"C"</formula>
    </cfRule>
    <cfRule type="cellIs" dxfId="729" priority="13282" operator="equal">
      <formula>"P"</formula>
    </cfRule>
  </conditionalFormatting>
  <conditionalFormatting sqref="C80:G80 AN80:AQ80">
    <cfRule type="dataBar" priority="1581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{03F189DA-93A6-4AED-AD62-D9F4263FFB23}</x14:id>
        </ext>
      </extLst>
    </cfRule>
  </conditionalFormatting>
  <conditionalFormatting sqref="C36:H39">
    <cfRule type="cellIs" dxfId="728" priority="8533" operator="equal">
      <formula>"C"</formula>
    </cfRule>
    <cfRule type="cellIs" dxfId="727" priority="8534" operator="equal">
      <formula>"P"</formula>
    </cfRule>
  </conditionalFormatting>
  <conditionalFormatting sqref="C45:H45">
    <cfRule type="cellIs" dxfId="726" priority="13701" operator="equal">
      <formula>"C"</formula>
    </cfRule>
    <cfRule type="cellIs" dxfId="725" priority="13702" operator="equal">
      <formula>"P"</formula>
    </cfRule>
  </conditionalFormatting>
  <conditionalFormatting sqref="C80:Q80">
    <cfRule type="cellIs" dxfId="724" priority="1582" operator="equal">
      <formula>"C"</formula>
    </cfRule>
    <cfRule type="cellIs" dxfId="723" priority="1583" operator="equal">
      <formula>"P"</formula>
    </cfRule>
  </conditionalFormatting>
  <conditionalFormatting sqref="C35:Y35">
    <cfRule type="cellIs" dxfId="722" priority="8575" operator="equal">
      <formula>"C"</formula>
    </cfRule>
    <cfRule type="cellIs" dxfId="721" priority="8576" operator="equal">
      <formula>"P"</formula>
    </cfRule>
    <cfRule type="dataBar" priority="1667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{CC88176A-2066-4E96-B631-4CD9C6DC1D4A}</x14:id>
        </ext>
      </extLst>
    </cfRule>
    <cfRule type="dataBar" priority="16672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{E0EB2B80-8F12-4E33-86B0-774C204135C5}</x14:id>
        </ext>
      </extLst>
    </cfRule>
  </conditionalFormatting>
  <conditionalFormatting sqref="C47:Y47">
    <cfRule type="cellIs" dxfId="720" priority="13483" operator="equal">
      <formula>"C"</formula>
    </cfRule>
    <cfRule type="cellIs" dxfId="719" priority="13484" operator="equal">
      <formula>"P"</formula>
    </cfRule>
  </conditionalFormatting>
  <conditionalFormatting sqref="C81:AL81">
    <cfRule type="cellIs" dxfId="718" priority="1452" operator="equal">
      <formula>"C"</formula>
    </cfRule>
    <cfRule type="cellIs" dxfId="717" priority="1453" operator="equal">
      <formula>"P"</formula>
    </cfRule>
  </conditionalFormatting>
  <conditionalFormatting sqref="C82:AL82 AN82:AR82">
    <cfRule type="cellIs" dxfId="716" priority="1468" operator="equal">
      <formula>0</formula>
    </cfRule>
  </conditionalFormatting>
  <conditionalFormatting sqref="C84:AL85">
    <cfRule type="cellIs" dxfId="715" priority="149" operator="equal">
      <formula>"C"</formula>
    </cfRule>
    <cfRule type="cellIs" dxfId="714" priority="150" operator="equal">
      <formula>"P"</formula>
    </cfRule>
  </conditionalFormatting>
  <conditionalFormatting sqref="C90:AL92">
    <cfRule type="cellIs" dxfId="713" priority="187" operator="equal">
      <formula>"C"</formula>
    </cfRule>
    <cfRule type="cellIs" dxfId="712" priority="188" operator="equal">
      <formula>"P"</formula>
    </cfRule>
  </conditionalFormatting>
  <conditionalFormatting sqref="D53:D79">
    <cfRule type="cellIs" dxfId="711" priority="736" operator="equal">
      <formula>"C"</formula>
    </cfRule>
    <cfRule type="cellIs" dxfId="710" priority="737" operator="equal">
      <formula>"P"</formula>
    </cfRule>
  </conditionalFormatting>
  <conditionalFormatting sqref="E53:E77">
    <cfRule type="cellIs" dxfId="709" priority="720" operator="equal">
      <formula>"C"</formula>
    </cfRule>
    <cfRule type="cellIs" dxfId="708" priority="721" operator="equal">
      <formula>"P"</formula>
    </cfRule>
  </conditionalFormatting>
  <conditionalFormatting sqref="E79">
    <cfRule type="cellIs" dxfId="707" priority="4960" operator="equal">
      <formula>"C"</formula>
    </cfRule>
    <cfRule type="cellIs" dxfId="706" priority="4961" operator="equal">
      <formula>"P"</formula>
    </cfRule>
  </conditionalFormatting>
  <conditionalFormatting sqref="E43:F43">
    <cfRule type="cellIs" dxfId="705" priority="8339" operator="equal">
      <formula>"C"</formula>
    </cfRule>
    <cfRule type="cellIs" dxfId="704" priority="8340" operator="equal">
      <formula>"P"</formula>
    </cfRule>
  </conditionalFormatting>
  <conditionalFormatting sqref="E41:G41 G42:G43">
    <cfRule type="cellIs" dxfId="703" priority="13869" operator="equal">
      <formula>"C"</formula>
    </cfRule>
    <cfRule type="cellIs" dxfId="702" priority="13870" operator="equal">
      <formula>"P"</formula>
    </cfRule>
  </conditionalFormatting>
  <conditionalFormatting sqref="E37:H39">
    <cfRule type="cellIs" dxfId="701" priority="8527" operator="equal">
      <formula>"C"</formula>
    </cfRule>
    <cfRule type="cellIs" dxfId="700" priority="8528" operator="equal">
      <formula>"P"</formula>
    </cfRule>
  </conditionalFormatting>
  <conditionalFormatting sqref="F44:F46">
    <cfRule type="cellIs" dxfId="699" priority="8343" operator="equal">
      <formula>"C"</formula>
    </cfRule>
    <cfRule type="cellIs" dxfId="698" priority="8344" operator="equal">
      <formula>"P"</formula>
    </cfRule>
  </conditionalFormatting>
  <conditionalFormatting sqref="F53:F74">
    <cfRule type="cellIs" dxfId="697" priority="708" operator="equal">
      <formula>"C"</formula>
    </cfRule>
    <cfRule type="cellIs" dxfId="696" priority="709" operator="equal">
      <formula>"P"</formula>
    </cfRule>
  </conditionalFormatting>
  <conditionalFormatting sqref="F39:J39">
    <cfRule type="cellIs" dxfId="695" priority="8515" operator="equal">
      <formula>"C"</formula>
    </cfRule>
    <cfRule type="cellIs" dxfId="694" priority="8516" operator="equal">
      <formula>"P"</formula>
    </cfRule>
  </conditionalFormatting>
  <conditionalFormatting sqref="G27">
    <cfRule type="cellIs" dxfId="693" priority="1228" operator="equal">
      <formula>"C"</formula>
    </cfRule>
    <cfRule type="cellIs" dxfId="692" priority="1229" operator="equal">
      <formula>"P"</formula>
    </cfRule>
  </conditionalFormatting>
  <conditionalFormatting sqref="G30">
    <cfRule type="cellIs" dxfId="691" priority="1226" operator="equal">
      <formula>"C"</formula>
    </cfRule>
    <cfRule type="cellIs" dxfId="690" priority="1227" operator="equal">
      <formula>"P"</formula>
    </cfRule>
  </conditionalFormatting>
  <conditionalFormatting sqref="G53:G77">
    <cfRule type="cellIs" dxfId="689" priority="137" operator="equal">
      <formula>"C"</formula>
    </cfRule>
    <cfRule type="cellIs" dxfId="688" priority="138" operator="equal">
      <formula>"P"</formula>
    </cfRule>
  </conditionalFormatting>
  <conditionalFormatting sqref="G44:Q47 S44:T47">
    <cfRule type="cellIs" dxfId="687" priority="13227" operator="equal">
      <formula>"C"</formula>
    </cfRule>
    <cfRule type="cellIs" dxfId="686" priority="13228" operator="equal">
      <formula>"P"</formula>
    </cfRule>
  </conditionalFormatting>
  <conditionalFormatting sqref="H41:H43">
    <cfRule type="cellIs" dxfId="685" priority="13873" operator="equal">
      <formula>"C"</formula>
    </cfRule>
    <cfRule type="cellIs" dxfId="684" priority="13874" operator="equal">
      <formula>"P"</formula>
    </cfRule>
  </conditionalFormatting>
  <conditionalFormatting sqref="H54:H79">
    <cfRule type="cellIs" dxfId="683" priority="626" operator="equal">
      <formula>"C"</formula>
    </cfRule>
    <cfRule type="cellIs" dxfId="682" priority="627" operator="equal">
      <formula>"P"</formula>
    </cfRule>
  </conditionalFormatting>
  <conditionalFormatting sqref="H80:P80">
    <cfRule type="dataBar" priority="1580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{D3001F8D-61D0-4FA2-AC4A-90B1F6DF385D}</x14:id>
        </ext>
      </extLst>
    </cfRule>
  </conditionalFormatting>
  <conditionalFormatting sqref="I30">
    <cfRule type="cellIs" dxfId="681" priority="1220" operator="equal">
      <formula>"C"</formula>
    </cfRule>
    <cfRule type="cellIs" dxfId="680" priority="1221" operator="equal">
      <formula>"P"</formula>
    </cfRule>
  </conditionalFormatting>
  <conditionalFormatting sqref="I33">
    <cfRule type="cellIs" dxfId="679" priority="7973" operator="equal">
      <formula>"C"</formula>
    </cfRule>
    <cfRule type="cellIs" dxfId="678" priority="7974" operator="equal">
      <formula>"P"</formula>
    </cfRule>
  </conditionalFormatting>
  <conditionalFormatting sqref="I43">
    <cfRule type="cellIs" dxfId="677" priority="8335" operator="equal">
      <formula>"C"</formula>
    </cfRule>
    <cfRule type="cellIs" dxfId="676" priority="8336" operator="equal">
      <formula>"P"</formula>
    </cfRule>
  </conditionalFormatting>
  <conditionalFormatting sqref="I53:I79">
    <cfRule type="cellIs" dxfId="675" priority="87" operator="equal">
      <formula>"C"</formula>
    </cfRule>
    <cfRule type="cellIs" dxfId="674" priority="88" operator="equal">
      <formula>"P"</formula>
    </cfRule>
  </conditionalFormatting>
  <conditionalFormatting sqref="I27:J27">
    <cfRule type="cellIs" dxfId="673" priority="1218" operator="equal">
      <formula>"C"</formula>
    </cfRule>
    <cfRule type="cellIs" dxfId="672" priority="1219" operator="equal">
      <formula>"P"</formula>
    </cfRule>
  </conditionalFormatting>
  <conditionalFormatting sqref="I36:J38">
    <cfRule type="cellIs" dxfId="671" priority="13055" operator="equal">
      <formula>"C"</formula>
    </cfRule>
    <cfRule type="cellIs" dxfId="670" priority="13056" operator="equal">
      <formula>"P"</formula>
    </cfRule>
  </conditionalFormatting>
  <conditionalFormatting sqref="I37:Y38">
    <cfRule type="cellIs" dxfId="669" priority="13035" operator="equal">
      <formula>"C"</formula>
    </cfRule>
    <cfRule type="cellIs" dxfId="668" priority="13036" operator="equal">
      <formula>"P"</formula>
    </cfRule>
  </conditionalFormatting>
  <conditionalFormatting sqref="J53:J77">
    <cfRule type="cellIs" dxfId="667" priority="620" operator="equal">
      <formula>"C"</formula>
    </cfRule>
    <cfRule type="cellIs" dxfId="666" priority="621" operator="equal">
      <formula>"P"</formula>
    </cfRule>
  </conditionalFormatting>
  <conditionalFormatting sqref="K53:K76">
    <cfRule type="cellIs" dxfId="665" priority="598" operator="equal">
      <formula>"C"</formula>
    </cfRule>
    <cfRule type="cellIs" dxfId="664" priority="599" operator="equal">
      <formula>"P"</formula>
    </cfRule>
  </conditionalFormatting>
  <conditionalFormatting sqref="K36:L39">
    <cfRule type="cellIs" dxfId="663" priority="8491" operator="equal">
      <formula>"C"</formula>
    </cfRule>
    <cfRule type="cellIs" dxfId="662" priority="8492" operator="equal">
      <formula>"P"</formula>
    </cfRule>
  </conditionalFormatting>
  <conditionalFormatting sqref="L1:L2">
    <cfRule type="cellIs" dxfId="661" priority="16605" operator="equal">
      <formula>"C"</formula>
    </cfRule>
    <cfRule type="cellIs" dxfId="660" priority="16606" operator="equal">
      <formula>"P"</formula>
    </cfRule>
  </conditionalFormatting>
  <conditionalFormatting sqref="L53:L74">
    <cfRule type="cellIs" dxfId="659" priority="600" operator="equal">
      <formula>"C"</formula>
    </cfRule>
    <cfRule type="cellIs" dxfId="658" priority="601" operator="equal">
      <formula>"P"</formula>
    </cfRule>
  </conditionalFormatting>
  <conditionalFormatting sqref="M27">
    <cfRule type="cellIs" dxfId="657" priority="1214" operator="equal">
      <formula>"C"</formula>
    </cfRule>
    <cfRule type="cellIs" dxfId="656" priority="1215" operator="equal">
      <formula>"P"</formula>
    </cfRule>
  </conditionalFormatting>
  <conditionalFormatting sqref="M30">
    <cfRule type="cellIs" dxfId="655" priority="1216" operator="equal">
      <formula>"C"</formula>
    </cfRule>
    <cfRule type="cellIs" dxfId="654" priority="1217" operator="equal">
      <formula>"P"</formula>
    </cfRule>
  </conditionalFormatting>
  <conditionalFormatting sqref="M33">
    <cfRule type="cellIs" dxfId="653" priority="7897" operator="equal">
      <formula>"C"</formula>
    </cfRule>
    <cfRule type="cellIs" dxfId="652" priority="7898" operator="equal">
      <formula>"P"</formula>
    </cfRule>
  </conditionalFormatting>
  <conditionalFormatting sqref="M54:M79">
    <cfRule type="cellIs" dxfId="651" priority="584" operator="equal">
      <formula>"C"</formula>
    </cfRule>
    <cfRule type="cellIs" dxfId="650" priority="585" operator="equal">
      <formula>"P"</formula>
    </cfRule>
  </conditionalFormatting>
  <conditionalFormatting sqref="M36:O38">
    <cfRule type="cellIs" dxfId="649" priority="13045" operator="equal">
      <formula>"C"</formula>
    </cfRule>
    <cfRule type="cellIs" dxfId="648" priority="13046" operator="equal">
      <formula>"P"</formula>
    </cfRule>
  </conditionalFormatting>
  <conditionalFormatting sqref="M39:Y39">
    <cfRule type="cellIs" dxfId="647" priority="8401" operator="equal">
      <formula>"C"</formula>
    </cfRule>
    <cfRule type="cellIs" dxfId="646" priority="8402" operator="equal">
      <formula>"P"</formula>
    </cfRule>
  </conditionalFormatting>
  <conditionalFormatting sqref="N53:N77">
    <cfRule type="cellIs" dxfId="645" priority="135" operator="equal">
      <formula>"C"</formula>
    </cfRule>
    <cfRule type="cellIs" dxfId="644" priority="136" operator="equal">
      <formula>"P"</formula>
    </cfRule>
  </conditionalFormatting>
  <conditionalFormatting sqref="N45:T47">
    <cfRule type="cellIs" dxfId="643" priority="13231" operator="equal">
      <formula>"C"</formula>
    </cfRule>
    <cfRule type="cellIs" dxfId="642" priority="13232" operator="equal">
      <formula>"P"</formula>
    </cfRule>
  </conditionalFormatting>
  <conditionalFormatting sqref="O53:O74">
    <cfRule type="cellIs" dxfId="641" priority="562" operator="equal">
      <formula>"C"</formula>
    </cfRule>
    <cfRule type="cellIs" dxfId="640" priority="563" operator="equal">
      <formula>"P"</formula>
    </cfRule>
  </conditionalFormatting>
  <conditionalFormatting sqref="P53:Q79">
    <cfRule type="cellIs" dxfId="639" priority="538" operator="equal">
      <formula>"C"</formula>
    </cfRule>
    <cfRule type="cellIs" dxfId="638" priority="539" operator="equal">
      <formula>"P"</formula>
    </cfRule>
  </conditionalFormatting>
  <conditionalFormatting sqref="Q27">
    <cfRule type="cellIs" dxfId="637" priority="1210" operator="equal">
      <formula>"C"</formula>
    </cfRule>
    <cfRule type="cellIs" dxfId="636" priority="1211" operator="equal">
      <formula>"P"</formula>
    </cfRule>
  </conditionalFormatting>
  <conditionalFormatting sqref="Q30">
    <cfRule type="cellIs" dxfId="635" priority="1212" operator="equal">
      <formula>"C"</formula>
    </cfRule>
    <cfRule type="cellIs" dxfId="634" priority="1213" operator="equal">
      <formula>"P"</formula>
    </cfRule>
  </conditionalFormatting>
  <conditionalFormatting sqref="Q33">
    <cfRule type="cellIs" dxfId="633" priority="7893" operator="equal">
      <formula>"C"</formula>
    </cfRule>
    <cfRule type="cellIs" dxfId="632" priority="7894" operator="equal">
      <formula>"P"</formula>
    </cfRule>
  </conditionalFormatting>
  <conditionalFormatting sqref="Q36:Y38">
    <cfRule type="cellIs" dxfId="631" priority="13043" operator="equal">
      <formula>"C"</formula>
    </cfRule>
    <cfRule type="cellIs" dxfId="630" priority="13044" operator="equal">
      <formula>"P"</formula>
    </cfRule>
  </conditionalFormatting>
  <conditionalFormatting sqref="Q80:Y80">
    <cfRule type="dataBar" priority="1579">
      <dataBar>
        <cfvo type="num" val="0"/>
        <cfvo type="num" val="3"/>
        <color rgb="FF00B0F0"/>
      </dataBar>
      <extLst>
        <ext xmlns:x14="http://schemas.microsoft.com/office/spreadsheetml/2009/9/main" uri="{B025F937-C7B1-47D3-B67F-A62EFF666E3E}">
          <x14:id>{E9EB0485-3ED6-428C-9EEC-AD42285D90C7}</x14:id>
        </ext>
      </extLst>
    </cfRule>
  </conditionalFormatting>
  <conditionalFormatting sqref="R44:R45">
    <cfRule type="cellIs" dxfId="629" priority="13229" operator="equal">
      <formula>"C"</formula>
    </cfRule>
    <cfRule type="cellIs" dxfId="628" priority="13230" operator="equal">
      <formula>"P"</formula>
    </cfRule>
  </conditionalFormatting>
  <conditionalFormatting sqref="R53:R77">
    <cfRule type="cellIs" dxfId="627" priority="526" operator="equal">
      <formula>"C"</formula>
    </cfRule>
    <cfRule type="cellIs" dxfId="626" priority="527" operator="equal">
      <formula>"P"</formula>
    </cfRule>
  </conditionalFormatting>
  <conditionalFormatting sqref="S53:S79">
    <cfRule type="cellIs" dxfId="625" priority="133" operator="equal">
      <formula>"C"</formula>
    </cfRule>
    <cfRule type="cellIs" dxfId="624" priority="134" operator="equal">
      <formula>"P"</formula>
    </cfRule>
  </conditionalFormatting>
  <conditionalFormatting sqref="T54:T77">
    <cfRule type="cellIs" dxfId="623" priority="93" operator="equal">
      <formula>"C"</formula>
    </cfRule>
    <cfRule type="cellIs" dxfId="622" priority="94" operator="equal">
      <formula>"P"</formula>
    </cfRule>
  </conditionalFormatting>
  <conditionalFormatting sqref="T87:AB88">
    <cfRule type="cellIs" dxfId="621" priority="5063" operator="equal">
      <formula>"C"</formula>
    </cfRule>
    <cfRule type="cellIs" dxfId="620" priority="5064" operator="equal">
      <formula>"P"</formula>
    </cfRule>
  </conditionalFormatting>
  <conditionalFormatting sqref="U41:U47">
    <cfRule type="cellIs" dxfId="619" priority="12439" operator="equal">
      <formula>"C"</formula>
    </cfRule>
    <cfRule type="cellIs" dxfId="618" priority="12440" operator="equal">
      <formula>"P"</formula>
    </cfRule>
  </conditionalFormatting>
  <conditionalFormatting sqref="U53:U76">
    <cfRule type="cellIs" dxfId="617" priority="131" operator="equal">
      <formula>"C"</formula>
    </cfRule>
    <cfRule type="cellIs" dxfId="616" priority="132" operator="equal">
      <formula>"P"</formula>
    </cfRule>
  </conditionalFormatting>
  <conditionalFormatting sqref="V44:Y47">
    <cfRule type="cellIs" dxfId="615" priority="13219" operator="equal">
      <formula>"C"</formula>
    </cfRule>
    <cfRule type="cellIs" dxfId="614" priority="13220" operator="equal">
      <formula>"P"</formula>
    </cfRule>
  </conditionalFormatting>
  <conditionalFormatting sqref="V53:Y74">
    <cfRule type="cellIs" dxfId="613" priority="478" operator="equal">
      <formula>"C"</formula>
    </cfRule>
    <cfRule type="cellIs" dxfId="612" priority="479" operator="equal">
      <formula>"P"</formula>
    </cfRule>
  </conditionalFormatting>
  <conditionalFormatting sqref="X30">
    <cfRule type="cellIs" dxfId="611" priority="3" operator="equal">
      <formula>"C"</formula>
    </cfRule>
    <cfRule type="cellIs" dxfId="610" priority="4" operator="equal">
      <formula>"P"</formula>
    </cfRule>
  </conditionalFormatting>
  <conditionalFormatting sqref="X33">
    <cfRule type="cellIs" dxfId="609" priority="5" operator="equal">
      <formula>"C"</formula>
    </cfRule>
    <cfRule type="cellIs" dxfId="608" priority="6" operator="equal">
      <formula>"P"</formula>
    </cfRule>
  </conditionalFormatting>
  <conditionalFormatting sqref="Z4:Z47">
    <cfRule type="cellIs" dxfId="607" priority="254" operator="equal">
      <formula>"C"</formula>
    </cfRule>
    <cfRule type="cellIs" dxfId="606" priority="255" operator="equal">
      <formula>"P"</formula>
    </cfRule>
  </conditionalFormatting>
  <conditionalFormatting sqref="Z53:AA79">
    <cfRule type="cellIs" dxfId="605" priority="91" operator="equal">
      <formula>"C"</formula>
    </cfRule>
    <cfRule type="cellIs" dxfId="604" priority="92" operator="equal">
      <formula>"P"</formula>
    </cfRule>
  </conditionalFormatting>
  <conditionalFormatting sqref="Z80:AD80 AF80:AG80">
    <cfRule type="dataBar" priority="157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{C8ED6E4C-9451-427B-9783-7A52782313F9}</x14:id>
        </ext>
      </extLst>
    </cfRule>
  </conditionalFormatting>
  <conditionalFormatting sqref="AA9:AA24">
    <cfRule type="cellIs" dxfId="603" priority="1438" operator="equal">
      <formula>"C"</formula>
    </cfRule>
    <cfRule type="cellIs" dxfId="602" priority="1439" operator="equal">
      <formula>"P"</formula>
    </cfRule>
  </conditionalFormatting>
  <conditionalFormatting sqref="AA26:AA27">
    <cfRule type="cellIs" dxfId="601" priority="7163" operator="equal">
      <formula>"C"</formula>
    </cfRule>
    <cfRule type="cellIs" dxfId="600" priority="7164" operator="equal">
      <formula>"P"</formula>
    </cfRule>
  </conditionalFormatting>
  <conditionalFormatting sqref="AA29">
    <cfRule type="cellIs" dxfId="599" priority="7177" operator="equal">
      <formula>"C"</formula>
    </cfRule>
    <cfRule type="cellIs" dxfId="598" priority="7178" operator="equal">
      <formula>"P"</formula>
    </cfRule>
  </conditionalFormatting>
  <conditionalFormatting sqref="AA35:AE35">
    <cfRule type="dataBar" priority="856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{191F85D2-5F93-4C76-8568-ACE65DB9BAD1}</x14:id>
        </ext>
      </extLst>
    </cfRule>
  </conditionalFormatting>
  <conditionalFormatting sqref="AA35:AO35">
    <cfRule type="cellIs" dxfId="597" priority="8571" operator="equal">
      <formula>"C"</formula>
    </cfRule>
    <cfRule type="cellIs" dxfId="596" priority="8572" operator="equal">
      <formula>"P"</formula>
    </cfRule>
  </conditionalFormatting>
  <conditionalFormatting sqref="AA36:BM36">
    <cfRule type="cellIs" dxfId="595" priority="5167" operator="equal">
      <formula>"C"</formula>
    </cfRule>
    <cfRule type="cellIs" dxfId="594" priority="5168" operator="equal">
      <formula>"P"</formula>
    </cfRule>
  </conditionalFormatting>
  <conditionalFormatting sqref="AA37:BM37">
    <cfRule type="cellIs" dxfId="593" priority="5069" operator="equal">
      <formula>0</formula>
    </cfRule>
  </conditionalFormatting>
  <conditionalFormatting sqref="AA39:BM40">
    <cfRule type="cellIs" dxfId="592" priority="169" operator="equal">
      <formula>"C"</formula>
    </cfRule>
    <cfRule type="cellIs" dxfId="591" priority="170" operator="equal">
      <formula>"P"</formula>
    </cfRule>
  </conditionalFormatting>
  <conditionalFormatting sqref="AA45:BM47">
    <cfRule type="cellIs" dxfId="590" priority="197" operator="equal">
      <formula>"C"</formula>
    </cfRule>
    <cfRule type="cellIs" dxfId="589" priority="198" operator="equal">
      <formula>"P"</formula>
    </cfRule>
  </conditionalFormatting>
  <conditionalFormatting sqref="AB8:AB32">
    <cfRule type="cellIs" dxfId="588" priority="1410" operator="equal">
      <formula>"C"</formula>
    </cfRule>
    <cfRule type="cellIs" dxfId="587" priority="1411" operator="equal">
      <formula>"P"</formula>
    </cfRule>
  </conditionalFormatting>
  <conditionalFormatting sqref="AB53:AB77">
    <cfRule type="cellIs" dxfId="586" priority="99" operator="equal">
      <formula>"C"</formula>
    </cfRule>
    <cfRule type="cellIs" dxfId="585" priority="100" operator="equal">
      <formula>"P"</formula>
    </cfRule>
  </conditionalFormatting>
  <conditionalFormatting sqref="AC8:AC31">
    <cfRule type="cellIs" dxfId="584" priority="1350" operator="equal">
      <formula>"C"</formula>
    </cfRule>
    <cfRule type="cellIs" dxfId="583" priority="1351" operator="equal">
      <formula>"P"</formula>
    </cfRule>
  </conditionalFormatting>
  <conditionalFormatting sqref="AC33:AC34">
    <cfRule type="cellIs" dxfId="582" priority="7785" operator="equal">
      <formula>"C"</formula>
    </cfRule>
    <cfRule type="cellIs" dxfId="581" priority="7786" operator="equal">
      <formula>"P"</formula>
    </cfRule>
  </conditionalFormatting>
  <conditionalFormatting sqref="AC53:AC76">
    <cfRule type="cellIs" dxfId="580" priority="57" operator="equal">
      <formula>"C"</formula>
    </cfRule>
    <cfRule type="cellIs" dxfId="579" priority="58" operator="equal">
      <formula>"P"</formula>
    </cfRule>
  </conditionalFormatting>
  <conditionalFormatting sqref="AD8:AD32">
    <cfRule type="cellIs" dxfId="578" priority="67" operator="equal">
      <formula>"C"</formula>
    </cfRule>
    <cfRule type="cellIs" dxfId="577" priority="68" operator="equal">
      <formula>"P"</formula>
    </cfRule>
  </conditionalFormatting>
  <conditionalFormatting sqref="AD55:AD63">
    <cfRule type="cellIs" dxfId="576" priority="117" operator="equal">
      <formula>"C"</formula>
    </cfRule>
    <cfRule type="cellIs" dxfId="575" priority="118" operator="equal">
      <formula>"P"</formula>
    </cfRule>
  </conditionalFormatting>
  <conditionalFormatting sqref="AD64:AE76">
    <cfRule type="cellIs" dxfId="574" priority="101" operator="equal">
      <formula>"C"</formula>
    </cfRule>
    <cfRule type="cellIs" dxfId="573" priority="102" operator="equal">
      <formula>"P"</formula>
    </cfRule>
  </conditionalFormatting>
  <conditionalFormatting sqref="AE8:AE31">
    <cfRule type="cellIs" dxfId="572" priority="1358" operator="equal">
      <formula>"C"</formula>
    </cfRule>
    <cfRule type="cellIs" dxfId="571" priority="1359" operator="equal">
      <formula>"P"</formula>
    </cfRule>
  </conditionalFormatting>
  <conditionalFormatting sqref="AE53:AE63">
    <cfRule type="cellIs" dxfId="570" priority="374" operator="equal">
      <formula>"C"</formula>
    </cfRule>
    <cfRule type="cellIs" dxfId="569" priority="375" operator="equal">
      <formula>"P"</formula>
    </cfRule>
  </conditionalFormatting>
  <conditionalFormatting sqref="AE80">
    <cfRule type="dataBar" priority="156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{67F36BCC-FEC7-48D9-9F3B-682C9C62093E}</x14:id>
        </ext>
      </extLst>
    </cfRule>
  </conditionalFormatting>
  <conditionalFormatting sqref="AF8:AF29">
    <cfRule type="cellIs" dxfId="568" priority="1352" operator="equal">
      <formula>"C"</formula>
    </cfRule>
    <cfRule type="cellIs" dxfId="567" priority="1353" operator="equal">
      <formula>"P"</formula>
    </cfRule>
  </conditionalFormatting>
  <conditionalFormatting sqref="AF53:AF79">
    <cfRule type="cellIs" dxfId="566" priority="300" operator="equal">
      <formula>"C"</formula>
    </cfRule>
    <cfRule type="cellIs" dxfId="565" priority="301" operator="equal">
      <formula>"P"</formula>
    </cfRule>
  </conditionalFormatting>
  <conditionalFormatting sqref="AF35:AN35">
    <cfRule type="dataBar" priority="8567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{41F28334-CD00-4CEF-9FD7-8F1428E79668}</x14:id>
        </ext>
      </extLst>
    </cfRule>
  </conditionalFormatting>
  <conditionalFormatting sqref="AG8:AG31">
    <cfRule type="cellIs" dxfId="564" priority="69" operator="equal">
      <formula>"C"</formula>
    </cfRule>
    <cfRule type="cellIs" dxfId="563" priority="70" operator="equal">
      <formula>"P"</formula>
    </cfRule>
  </conditionalFormatting>
  <conditionalFormatting sqref="AG53:AG77">
    <cfRule type="cellIs" dxfId="562" priority="360" operator="equal">
      <formula>"C"</formula>
    </cfRule>
    <cfRule type="cellIs" dxfId="561" priority="361" operator="equal">
      <formula>"P"</formula>
    </cfRule>
  </conditionalFormatting>
  <conditionalFormatting sqref="AH53:AH76">
    <cfRule type="cellIs" dxfId="560" priority="348" operator="equal">
      <formula>"C"</formula>
    </cfRule>
    <cfRule type="cellIs" dxfId="559" priority="349" operator="equal">
      <formula>"P"</formula>
    </cfRule>
  </conditionalFormatting>
  <conditionalFormatting sqref="AH80">
    <cfRule type="dataBar" priority="1577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{6582EA49-C442-401E-82EC-B9A2B99C953A}</x14:id>
        </ext>
      </extLst>
    </cfRule>
  </conditionalFormatting>
  <conditionalFormatting sqref="AH8:AI34">
    <cfRule type="cellIs" dxfId="558" priority="1306" operator="equal">
      <formula>"C"</formula>
    </cfRule>
    <cfRule type="cellIs" dxfId="557" priority="1307" operator="equal">
      <formula>"P"</formula>
    </cfRule>
  </conditionalFormatting>
  <conditionalFormatting sqref="AI53:AI74">
    <cfRule type="cellIs" dxfId="556" priority="53" operator="equal">
      <formula>"C"</formula>
    </cfRule>
    <cfRule type="cellIs" dxfId="555" priority="54" operator="equal">
      <formula>"P"</formula>
    </cfRule>
  </conditionalFormatting>
  <conditionalFormatting sqref="AI80">
    <cfRule type="dataBar" priority="1576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{DBC5C43B-3157-40B7-A944-3B47113B9B40}</x14:id>
        </ext>
      </extLst>
    </cfRule>
  </conditionalFormatting>
  <conditionalFormatting sqref="AJ8:AJ29">
    <cfRule type="cellIs" dxfId="554" priority="129" operator="equal">
      <formula>"C"</formula>
    </cfRule>
    <cfRule type="cellIs" dxfId="553" priority="130" operator="equal">
      <formula>"P"</formula>
    </cfRule>
  </conditionalFormatting>
  <conditionalFormatting sqref="AJ57:AJ72">
    <cfRule type="cellIs" dxfId="552" priority="55" operator="equal">
      <formula>"C"</formula>
    </cfRule>
    <cfRule type="cellIs" dxfId="551" priority="56" operator="equal">
      <formula>"P"</formula>
    </cfRule>
  </conditionalFormatting>
  <conditionalFormatting sqref="AJ80">
    <cfRule type="dataBar" priority="1575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{A8C44307-68B9-4D78-8A64-1E3151B86A40}</x14:id>
        </ext>
      </extLst>
    </cfRule>
  </conditionalFormatting>
  <conditionalFormatting sqref="AK8:AK32">
    <cfRule type="cellIs" dxfId="550" priority="127" operator="equal">
      <formula>"C"</formula>
    </cfRule>
    <cfRule type="cellIs" dxfId="549" priority="128" operator="equal">
      <formula>"P"</formula>
    </cfRule>
  </conditionalFormatting>
  <conditionalFormatting sqref="AK54:AK79">
    <cfRule type="cellIs" dxfId="548" priority="65" operator="equal">
      <formula>"C"</formula>
    </cfRule>
    <cfRule type="cellIs" dxfId="547" priority="66" operator="equal">
      <formula>"P"</formula>
    </cfRule>
  </conditionalFormatting>
  <conditionalFormatting sqref="AK80">
    <cfRule type="dataBar" priority="1574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{45FD4004-CFD9-40AC-849A-B3BCD21D9AB3}</x14:id>
        </ext>
      </extLst>
    </cfRule>
  </conditionalFormatting>
  <conditionalFormatting sqref="AL9:AL26">
    <cfRule type="cellIs" dxfId="546" priority="89" operator="equal">
      <formula>"C"</formula>
    </cfRule>
    <cfRule type="cellIs" dxfId="545" priority="90" operator="equal">
      <formula>"P"</formula>
    </cfRule>
  </conditionalFormatting>
  <conditionalFormatting sqref="AL53:AL74">
    <cfRule type="cellIs" dxfId="544" priority="316" operator="equal">
      <formula>"C"</formula>
    </cfRule>
    <cfRule type="cellIs" dxfId="543" priority="317" operator="equal">
      <formula>"P"</formula>
    </cfRule>
  </conditionalFormatting>
  <conditionalFormatting sqref="AL80">
    <cfRule type="dataBar" priority="1573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{5672539F-D6BF-4470-ABCF-710979471A4B}</x14:id>
        </ext>
      </extLst>
    </cfRule>
  </conditionalFormatting>
  <conditionalFormatting sqref="AM8:AM32">
    <cfRule type="cellIs" dxfId="542" priority="1258" operator="equal">
      <formula>"C"</formula>
    </cfRule>
    <cfRule type="cellIs" dxfId="541" priority="1259" operator="equal">
      <formula>"P"</formula>
    </cfRule>
  </conditionalFormatting>
  <conditionalFormatting sqref="AM49:AM92">
    <cfRule type="cellIs" dxfId="540" priority="221" operator="equal">
      <formula>"C"</formula>
    </cfRule>
    <cfRule type="cellIs" dxfId="539" priority="222" operator="equal">
      <formula>"P"</formula>
    </cfRule>
  </conditionalFormatting>
  <conditionalFormatting sqref="AN8:AN29">
    <cfRule type="cellIs" dxfId="538" priority="1250" operator="equal">
      <formula>"C"</formula>
    </cfRule>
    <cfRule type="cellIs" dxfId="537" priority="1251" operator="equal">
      <formula>"P"</formula>
    </cfRule>
  </conditionalFormatting>
  <conditionalFormatting sqref="AN53:AN78">
    <cfRule type="cellIs" dxfId="536" priority="25" operator="equal">
      <formula>"C"</formula>
    </cfRule>
    <cfRule type="cellIs" dxfId="535" priority="26" operator="equal">
      <formula>"P"</formula>
    </cfRule>
  </conditionalFormatting>
  <conditionalFormatting sqref="AO9:AO29">
    <cfRule type="cellIs" dxfId="534" priority="1246" operator="equal">
      <formula>"C"</formula>
    </cfRule>
    <cfRule type="cellIs" dxfId="533" priority="1247" operator="equal">
      <formula>"P"</formula>
    </cfRule>
  </conditionalFormatting>
  <conditionalFormatting sqref="AO53:AO76">
    <cfRule type="cellIs" dxfId="532" priority="11" operator="equal">
      <formula>"C"</formula>
    </cfRule>
    <cfRule type="cellIs" dxfId="531" priority="12" operator="equal">
      <formula>"P"</formula>
    </cfRule>
  </conditionalFormatting>
  <conditionalFormatting sqref="AO78:AO79">
    <cfRule type="cellIs" dxfId="530" priority="215" operator="equal">
      <formula>"C"</formula>
    </cfRule>
    <cfRule type="cellIs" dxfId="529" priority="216" operator="equal">
      <formula>"P"</formula>
    </cfRule>
  </conditionalFormatting>
  <conditionalFormatting sqref="AO35:AT35">
    <cfRule type="dataBar" priority="8566">
      <dataBar>
        <cfvo type="num" val="0"/>
        <cfvo type="num" val="3"/>
        <color rgb="FF00B0F0"/>
      </dataBar>
      <extLst>
        <ext xmlns:x14="http://schemas.microsoft.com/office/spreadsheetml/2009/9/main" uri="{B025F937-C7B1-47D3-B67F-A62EFF666E3E}">
          <x14:id>{ED9E6D8A-6701-47A5-8F09-6FC18F7DBF50}</x14:id>
        </ext>
      </extLst>
    </cfRule>
  </conditionalFormatting>
  <conditionalFormatting sqref="AP8:AP31">
    <cfRule type="cellIs" dxfId="528" priority="1232" operator="equal">
      <formula>"C"</formula>
    </cfRule>
    <cfRule type="cellIs" dxfId="527" priority="1233" operator="equal">
      <formula>"P"</formula>
    </cfRule>
  </conditionalFormatting>
  <conditionalFormatting sqref="AP53:AP78">
    <cfRule type="cellIs" dxfId="526" priority="231" operator="equal">
      <formula>"C"</formula>
    </cfRule>
    <cfRule type="cellIs" dxfId="525" priority="232" operator="equal">
      <formula>"P"</formula>
    </cfRule>
  </conditionalFormatting>
  <conditionalFormatting sqref="AP32:AQ34">
    <cfRule type="cellIs" dxfId="524" priority="7947" operator="equal">
      <formula>"C"</formula>
    </cfRule>
    <cfRule type="cellIs" dxfId="523" priority="7948" operator="equal">
      <formula>"P"</formula>
    </cfRule>
  </conditionalFormatting>
  <conditionalFormatting sqref="AQ9:AQ31">
    <cfRule type="cellIs" dxfId="522" priority="1130" operator="equal">
      <formula>"C"</formula>
    </cfRule>
    <cfRule type="cellIs" dxfId="521" priority="1131" operator="equal">
      <formula>"P"</formula>
    </cfRule>
  </conditionalFormatting>
  <conditionalFormatting sqref="AQ53:AQ76">
    <cfRule type="cellIs" dxfId="520" priority="7" operator="equal">
      <formula>"C"</formula>
    </cfRule>
    <cfRule type="cellIs" dxfId="519" priority="8" operator="equal">
      <formula>"P"</formula>
    </cfRule>
  </conditionalFormatting>
  <conditionalFormatting sqref="AQ78:AR78">
    <cfRule type="cellIs" dxfId="518" priority="9" operator="equal">
      <formula>"C"</formula>
    </cfRule>
    <cfRule type="cellIs" dxfId="517" priority="10" operator="equal">
      <formula>"P"</formula>
    </cfRule>
  </conditionalFormatting>
  <conditionalFormatting sqref="AR8:AR34">
    <cfRule type="cellIs" dxfId="516" priority="1172" operator="equal">
      <formula>"C"</formula>
    </cfRule>
    <cfRule type="cellIs" dxfId="515" priority="1173" operator="equal">
      <formula>"P"</formula>
    </cfRule>
  </conditionalFormatting>
  <conditionalFormatting sqref="AR53:AR75">
    <cfRule type="cellIs" dxfId="514" priority="227" operator="equal">
      <formula>"C"</formula>
    </cfRule>
    <cfRule type="cellIs" dxfId="513" priority="228" operator="equal">
      <formula>"P"</formula>
    </cfRule>
  </conditionalFormatting>
  <conditionalFormatting sqref="AR80">
    <cfRule type="dataBar" priority="246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{E0212180-8991-4F30-9F6C-176154710A11}</x14:id>
        </ext>
      </extLst>
    </cfRule>
  </conditionalFormatting>
  <conditionalFormatting sqref="AS9">
    <cfRule type="cellIs" dxfId="512" priority="6413" operator="equal">
      <formula>"C"</formula>
    </cfRule>
    <cfRule type="cellIs" dxfId="511" priority="6414" operator="equal">
      <formula>"P"</formula>
    </cfRule>
  </conditionalFormatting>
  <conditionalFormatting sqref="AS12:AS26">
    <cfRule type="cellIs" dxfId="510" priority="113" operator="equal">
      <formula>"C"</formula>
    </cfRule>
    <cfRule type="cellIs" dxfId="509" priority="114" operator="equal">
      <formula>"P"</formula>
    </cfRule>
  </conditionalFormatting>
  <conditionalFormatting sqref="AS50">
    <cfRule type="cellIs" dxfId="508" priority="185" operator="equal">
      <formula>"C"</formula>
    </cfRule>
    <cfRule type="cellIs" dxfId="507" priority="186" operator="equal">
      <formula>"P"</formula>
    </cfRule>
  </conditionalFormatting>
  <conditionalFormatting sqref="AS41:AU41 AW41 AS42:AW43">
    <cfRule type="cellIs" dxfId="506" priority="12803" operator="equal">
      <formula>"C"</formula>
    </cfRule>
    <cfRule type="cellIs" dxfId="505" priority="12804" operator="equal">
      <formula>"P"</formula>
    </cfRule>
  </conditionalFormatting>
  <conditionalFormatting sqref="AT9:AT34">
    <cfRule type="cellIs" dxfId="504" priority="6369" operator="equal">
      <formula>"C"</formula>
    </cfRule>
    <cfRule type="cellIs" dxfId="503" priority="6370" operator="equal">
      <formula>"P"</formula>
    </cfRule>
  </conditionalFormatting>
  <conditionalFormatting sqref="AU8:AU34">
    <cfRule type="cellIs" dxfId="502" priority="1136" operator="equal">
      <formula>"C"</formula>
    </cfRule>
    <cfRule type="cellIs" dxfId="501" priority="1137" operator="equal">
      <formula>"P"</formula>
    </cfRule>
  </conditionalFormatting>
  <conditionalFormatting sqref="AU35:AY35 BA35:BB35">
    <cfRule type="dataBar" priority="8565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{0337C143-57A3-4D13-8154-73F4F63CE2AE}</x14:id>
        </ext>
      </extLst>
    </cfRule>
  </conditionalFormatting>
  <conditionalFormatting sqref="AV8:AV32">
    <cfRule type="cellIs" dxfId="500" priority="1118" operator="equal">
      <formula>"C"</formula>
    </cfRule>
    <cfRule type="cellIs" dxfId="499" priority="1119" operator="equal">
      <formula>"P"</formula>
    </cfRule>
  </conditionalFormatting>
  <conditionalFormatting sqref="AW8:AY31">
    <cfRule type="cellIs" dxfId="498" priority="111" operator="equal">
      <formula>"C"</formula>
    </cfRule>
    <cfRule type="cellIs" dxfId="497" priority="112" operator="equal">
      <formula>"P"</formula>
    </cfRule>
  </conditionalFormatting>
  <conditionalFormatting sqref="AX32:AY34">
    <cfRule type="cellIs" dxfId="496" priority="7957" operator="equal">
      <formula>"C"</formula>
    </cfRule>
    <cfRule type="cellIs" dxfId="495" priority="7958" operator="equal">
      <formula>"P"</formula>
    </cfRule>
  </conditionalFormatting>
  <conditionalFormatting sqref="AZ8:AZ29">
    <cfRule type="cellIs" dxfId="494" priority="1086" operator="equal">
      <formula>"C"</formula>
    </cfRule>
    <cfRule type="cellIs" dxfId="493" priority="1087" operator="equal">
      <formula>"P"</formula>
    </cfRule>
  </conditionalFormatting>
  <conditionalFormatting sqref="AZ35">
    <cfRule type="dataBar" priority="5496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{6F860996-0F7C-4BEE-BEED-FA9043EF7B43}</x14:id>
        </ext>
      </extLst>
    </cfRule>
  </conditionalFormatting>
  <conditionalFormatting sqref="BA8:BA32">
    <cfRule type="cellIs" dxfId="492" priority="1074" operator="equal">
      <formula>"C"</formula>
    </cfRule>
    <cfRule type="cellIs" dxfId="491" priority="1075" operator="equal">
      <formula>"P"</formula>
    </cfRule>
  </conditionalFormatting>
  <conditionalFormatting sqref="BB9:BB34">
    <cfRule type="cellIs" dxfId="490" priority="1060" operator="equal">
      <formula>"C"</formula>
    </cfRule>
    <cfRule type="cellIs" dxfId="489" priority="1061" operator="equal">
      <formula>"P"</formula>
    </cfRule>
  </conditionalFormatting>
  <conditionalFormatting sqref="BC8:BC29">
    <cfRule type="cellIs" dxfId="488" priority="79" operator="equal">
      <formula>"C"</formula>
    </cfRule>
    <cfRule type="cellIs" dxfId="487" priority="80" operator="equal">
      <formula>"P"</formula>
    </cfRule>
  </conditionalFormatting>
  <conditionalFormatting sqref="BC35">
    <cfRule type="dataBar" priority="8564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{9A8E518F-33D9-4F2E-8E51-90D057ACCA1F}</x14:id>
        </ext>
      </extLst>
    </cfRule>
  </conditionalFormatting>
  <conditionalFormatting sqref="BD9:BD34">
    <cfRule type="cellIs" dxfId="486" priority="77" operator="equal">
      <formula>"C"</formula>
    </cfRule>
    <cfRule type="cellIs" dxfId="485" priority="78" operator="equal">
      <formula>"P"</formula>
    </cfRule>
  </conditionalFormatting>
  <conditionalFormatting sqref="BD35">
    <cfRule type="dataBar" priority="5952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{F80E2CFD-CDAC-4065-AA90-F38EA65612EE}</x14:id>
        </ext>
      </extLst>
    </cfRule>
  </conditionalFormatting>
  <conditionalFormatting sqref="BE8:BE34">
    <cfRule type="cellIs" dxfId="484" priority="1000" operator="equal">
      <formula>"C"</formula>
    </cfRule>
    <cfRule type="cellIs" dxfId="483" priority="1001" operator="equal">
      <formula>"P"</formula>
    </cfRule>
  </conditionalFormatting>
  <conditionalFormatting sqref="BE35">
    <cfRule type="dataBar" priority="5895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{436E1B79-273A-49CB-8E62-1ADD0E0F26B1}</x14:id>
        </ext>
      </extLst>
    </cfRule>
  </conditionalFormatting>
  <conditionalFormatting sqref="BE1:XFD1 BG2:XFD2 A5:A92 AN80:AR81 AN90:AR92">
    <cfRule type="cellIs" dxfId="482" priority="1446" operator="equal">
      <formula>"C"</formula>
    </cfRule>
    <cfRule type="cellIs" dxfId="481" priority="1447" operator="equal">
      <formula>"P"</formula>
    </cfRule>
  </conditionalFormatting>
  <conditionalFormatting sqref="BF8:BF32">
    <cfRule type="cellIs" dxfId="480" priority="75" operator="equal">
      <formula>"C"</formula>
    </cfRule>
    <cfRule type="cellIs" dxfId="479" priority="76" operator="equal">
      <formula>"P"</formula>
    </cfRule>
  </conditionalFormatting>
  <conditionalFormatting sqref="BF35">
    <cfRule type="dataBar" priority="583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{D3219B2B-4C9E-4FBE-9D5E-D3EFFB4067D2}</x14:id>
        </ext>
      </extLst>
    </cfRule>
  </conditionalFormatting>
  <conditionalFormatting sqref="BG8:BG34">
    <cfRule type="cellIs" dxfId="478" priority="972" operator="equal">
      <formula>"C"</formula>
    </cfRule>
    <cfRule type="cellIs" dxfId="477" priority="973" operator="equal">
      <formula>"P"</formula>
    </cfRule>
  </conditionalFormatting>
  <conditionalFormatting sqref="BG35">
    <cfRule type="dataBar" priority="5781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{43F9B182-C4AD-44BB-B0F3-453FBFE2F67B}</x14:id>
        </ext>
      </extLst>
    </cfRule>
  </conditionalFormatting>
  <conditionalFormatting sqref="BG48:XFD48">
    <cfRule type="cellIs" dxfId="476" priority="16423" operator="equal">
      <formula>"C"</formula>
    </cfRule>
    <cfRule type="cellIs" dxfId="475" priority="16424" operator="equal">
      <formula>"P"</formula>
    </cfRule>
  </conditionalFormatting>
  <conditionalFormatting sqref="BH8:BH32">
    <cfRule type="cellIs" dxfId="474" priority="115" operator="equal">
      <formula>"C"</formula>
    </cfRule>
    <cfRule type="cellIs" dxfId="473" priority="116" operator="equal">
      <formula>"P"</formula>
    </cfRule>
  </conditionalFormatting>
  <conditionalFormatting sqref="BH35">
    <cfRule type="dataBar" priority="5724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{C18232D6-A7A7-4D71-AE96-3B0F7137CE8D}</x14:id>
        </ext>
      </extLst>
    </cfRule>
  </conditionalFormatting>
  <conditionalFormatting sqref="BI9:BI31">
    <cfRule type="cellIs" dxfId="472" priority="952" operator="equal">
      <formula>"C"</formula>
    </cfRule>
    <cfRule type="cellIs" dxfId="471" priority="953" operator="equal">
      <formula>"P"</formula>
    </cfRule>
  </conditionalFormatting>
  <conditionalFormatting sqref="BI35">
    <cfRule type="dataBar" priority="5667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{66D5F452-73A6-4297-849B-6FEED5320185}</x14:id>
        </ext>
      </extLst>
    </cfRule>
  </conditionalFormatting>
  <conditionalFormatting sqref="BJ8:BJ29">
    <cfRule type="cellIs" dxfId="470" priority="141" operator="equal">
      <formula>"C"</formula>
    </cfRule>
    <cfRule type="cellIs" dxfId="469" priority="142" operator="equal">
      <formula>"P"</formula>
    </cfRule>
  </conditionalFormatting>
  <conditionalFormatting sqref="BJ35">
    <cfRule type="dataBar" priority="5223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{2115CD28-AA50-4AC2-B3B0-14D56922F856}</x14:id>
        </ext>
      </extLst>
    </cfRule>
    <cfRule type="dataBar" priority="5610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{DFD4757F-451F-43A9-9E41-A13917278572}</x14:id>
        </ext>
      </extLst>
    </cfRule>
  </conditionalFormatting>
  <conditionalFormatting sqref="BK8:BK32">
    <cfRule type="cellIs" dxfId="468" priority="59" operator="equal">
      <formula>"C"</formula>
    </cfRule>
    <cfRule type="cellIs" dxfId="467" priority="60" operator="equal">
      <formula>"P"</formula>
    </cfRule>
  </conditionalFormatting>
  <conditionalFormatting sqref="BK35">
    <cfRule type="dataBar" priority="5166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{FAB22FD5-2825-4F90-9998-426D3931E306}</x14:id>
        </ext>
      </extLst>
    </cfRule>
    <cfRule type="dataBar" priority="5553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{DA6DA7A2-1D3E-4540-82B6-C4617CED66F5}</x14:id>
        </ext>
      </extLst>
    </cfRule>
  </conditionalFormatting>
  <conditionalFormatting sqref="BK3:XFD3">
    <cfRule type="cellIs" dxfId="466" priority="16583" operator="equal">
      <formula>"C"</formula>
    </cfRule>
    <cfRule type="cellIs" dxfId="465" priority="16584" operator="equal">
      <formula>"P"</formula>
    </cfRule>
  </conditionalFormatting>
  <conditionalFormatting sqref="BL8:BL29">
    <cfRule type="cellIs" dxfId="464" priority="918" operator="equal">
      <formula>"C"</formula>
    </cfRule>
    <cfRule type="cellIs" dxfId="463" priority="919" operator="equal">
      <formula>"P"</formula>
    </cfRule>
  </conditionalFormatting>
  <conditionalFormatting sqref="BL35">
    <cfRule type="dataBar" priority="5335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{E4194FFF-1311-4B58-A756-1D278BF3D8E3}</x14:id>
        </ext>
      </extLst>
    </cfRule>
  </conditionalFormatting>
  <conditionalFormatting sqref="BM8:BM34">
    <cfRule type="cellIs" dxfId="462" priority="109" operator="equal">
      <formula>"C"</formula>
    </cfRule>
    <cfRule type="cellIs" dxfId="461" priority="110" operator="equal">
      <formula>"P"</formula>
    </cfRule>
  </conditionalFormatting>
  <conditionalFormatting sqref="BM35">
    <cfRule type="dataBar" priority="527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{D057DFF9-0494-4C81-9A1B-A5FD17AE74E6}</x14:id>
        </ext>
      </extLst>
    </cfRule>
  </conditionalFormatting>
  <conditionalFormatting sqref="BN4:XFD47">
    <cfRule type="cellIs" dxfId="460" priority="7991" operator="equal">
      <formula>"C"</formula>
    </cfRule>
    <cfRule type="cellIs" dxfId="459" priority="7992" operator="equal">
      <formula>"P"</formula>
    </cfRule>
  </conditionalFormatting>
  <pageMargins left="0.7" right="0.7" top="0.75" bottom="0.75" header="0.3" footer="0.3"/>
  <pageSetup paperSize="8" scale="3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F189DA-93A6-4AED-AD62-D9F4263FFB23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C80:G80 AN80:AQ80</xm:sqref>
        </x14:conditionalFormatting>
        <x14:conditionalFormatting xmlns:xm="http://schemas.microsoft.com/office/excel/2006/main">
          <x14:cfRule type="dataBar" id="{CC88176A-2066-4E96-B631-4CD9C6DC1D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EB2B80-8F12-4E33-86B0-774C204135C5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C35:Y35</xm:sqref>
        </x14:conditionalFormatting>
        <x14:conditionalFormatting xmlns:xm="http://schemas.microsoft.com/office/excel/2006/main">
          <x14:cfRule type="dataBar" id="{D3001F8D-61D0-4FA2-AC4A-90B1F6DF385D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H80:P80</xm:sqref>
        </x14:conditionalFormatting>
        <x14:conditionalFormatting xmlns:xm="http://schemas.microsoft.com/office/excel/2006/main">
          <x14:cfRule type="dataBar" id="{E9EB0485-3ED6-428C-9EEC-AD42285D90C7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Q80:Y80</xm:sqref>
        </x14:conditionalFormatting>
        <x14:conditionalFormatting xmlns:xm="http://schemas.microsoft.com/office/excel/2006/main">
          <x14:cfRule type="dataBar" id="{C8ED6E4C-9451-427B-9783-7A52782313F9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Z80:AD80 AF80:AG80</xm:sqref>
        </x14:conditionalFormatting>
        <x14:conditionalFormatting xmlns:xm="http://schemas.microsoft.com/office/excel/2006/main">
          <x14:cfRule type="dataBar" id="{191F85D2-5F93-4C76-8568-ACE65DB9BAD1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AA35:AE35</xm:sqref>
        </x14:conditionalFormatting>
        <x14:conditionalFormatting xmlns:xm="http://schemas.microsoft.com/office/excel/2006/main">
          <x14:cfRule type="dataBar" id="{67F36BCC-FEC7-48D9-9F3B-682C9C62093E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AE80</xm:sqref>
        </x14:conditionalFormatting>
        <x14:conditionalFormatting xmlns:xm="http://schemas.microsoft.com/office/excel/2006/main">
          <x14:cfRule type="dataBar" id="{41F28334-CD00-4CEF-9FD7-8F1428E79668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AF35:AN35</xm:sqref>
        </x14:conditionalFormatting>
        <x14:conditionalFormatting xmlns:xm="http://schemas.microsoft.com/office/excel/2006/main">
          <x14:cfRule type="dataBar" id="{6582EA49-C442-401E-82EC-B9A2B99C953A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AH80</xm:sqref>
        </x14:conditionalFormatting>
        <x14:conditionalFormatting xmlns:xm="http://schemas.microsoft.com/office/excel/2006/main">
          <x14:cfRule type="dataBar" id="{DBC5C43B-3157-40B7-A944-3B47113B9B4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AI80</xm:sqref>
        </x14:conditionalFormatting>
        <x14:conditionalFormatting xmlns:xm="http://schemas.microsoft.com/office/excel/2006/main">
          <x14:cfRule type="dataBar" id="{A8C44307-68B9-4D78-8A64-1E3151B86A4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AJ80</xm:sqref>
        </x14:conditionalFormatting>
        <x14:conditionalFormatting xmlns:xm="http://schemas.microsoft.com/office/excel/2006/main">
          <x14:cfRule type="dataBar" id="{45FD4004-CFD9-40AC-849A-B3BCD21D9AB3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AK80</xm:sqref>
        </x14:conditionalFormatting>
        <x14:conditionalFormatting xmlns:xm="http://schemas.microsoft.com/office/excel/2006/main">
          <x14:cfRule type="dataBar" id="{5672539F-D6BF-4470-ABCF-710979471A4B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AL80</xm:sqref>
        </x14:conditionalFormatting>
        <x14:conditionalFormatting xmlns:xm="http://schemas.microsoft.com/office/excel/2006/main">
          <x14:cfRule type="dataBar" id="{ED9E6D8A-6701-47A5-8F09-6FC18F7DBF50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AO35:AT35</xm:sqref>
        </x14:conditionalFormatting>
        <x14:conditionalFormatting xmlns:xm="http://schemas.microsoft.com/office/excel/2006/main">
          <x14:cfRule type="dataBar" id="{E0212180-8991-4F30-9F6C-176154710A11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AR80</xm:sqref>
        </x14:conditionalFormatting>
        <x14:conditionalFormatting xmlns:xm="http://schemas.microsoft.com/office/excel/2006/main">
          <x14:cfRule type="dataBar" id="{0337C143-57A3-4D13-8154-73F4F63CE2AE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AU35:AY35 BA35:BB35</xm:sqref>
        </x14:conditionalFormatting>
        <x14:conditionalFormatting xmlns:xm="http://schemas.microsoft.com/office/excel/2006/main">
          <x14:cfRule type="dataBar" id="{6F860996-0F7C-4BEE-BEED-FA9043EF7B43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AZ35</xm:sqref>
        </x14:conditionalFormatting>
        <x14:conditionalFormatting xmlns:xm="http://schemas.microsoft.com/office/excel/2006/main">
          <x14:cfRule type="dataBar" id="{9A8E518F-33D9-4F2E-8E51-90D057ACCA1F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BC35</xm:sqref>
        </x14:conditionalFormatting>
        <x14:conditionalFormatting xmlns:xm="http://schemas.microsoft.com/office/excel/2006/main">
          <x14:cfRule type="dataBar" id="{F80E2CFD-CDAC-4065-AA90-F38EA65612EE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BD35</xm:sqref>
        </x14:conditionalFormatting>
        <x14:conditionalFormatting xmlns:xm="http://schemas.microsoft.com/office/excel/2006/main">
          <x14:cfRule type="dataBar" id="{436E1B79-273A-49CB-8E62-1ADD0E0F26B1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BE35</xm:sqref>
        </x14:conditionalFormatting>
        <x14:conditionalFormatting xmlns:xm="http://schemas.microsoft.com/office/excel/2006/main">
          <x14:cfRule type="dataBar" id="{D3219B2B-4C9E-4FBE-9D5E-D3EFFB4067D2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BF35</xm:sqref>
        </x14:conditionalFormatting>
        <x14:conditionalFormatting xmlns:xm="http://schemas.microsoft.com/office/excel/2006/main">
          <x14:cfRule type="dataBar" id="{43F9B182-C4AD-44BB-B0F3-453FBFE2F67B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BG35</xm:sqref>
        </x14:conditionalFormatting>
        <x14:conditionalFormatting xmlns:xm="http://schemas.microsoft.com/office/excel/2006/main">
          <x14:cfRule type="dataBar" id="{C18232D6-A7A7-4D71-AE96-3B0F7137CE8D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BH35</xm:sqref>
        </x14:conditionalFormatting>
        <x14:conditionalFormatting xmlns:xm="http://schemas.microsoft.com/office/excel/2006/main">
          <x14:cfRule type="dataBar" id="{66D5F452-73A6-4297-849B-6FEED5320185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BI35</xm:sqref>
        </x14:conditionalFormatting>
        <x14:conditionalFormatting xmlns:xm="http://schemas.microsoft.com/office/excel/2006/main">
          <x14:cfRule type="dataBar" id="{2115CD28-AA50-4AC2-B3B0-14D56922F856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14:cfRule type="dataBar" id="{DFD4757F-451F-43A9-9E41-A13917278572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BJ35</xm:sqref>
        </x14:conditionalFormatting>
        <x14:conditionalFormatting xmlns:xm="http://schemas.microsoft.com/office/excel/2006/main">
          <x14:cfRule type="dataBar" id="{FAB22FD5-2825-4F90-9998-426D3931E306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14:cfRule type="dataBar" id="{DA6DA7A2-1D3E-4540-82B6-C4617CED66F5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BK35</xm:sqref>
        </x14:conditionalFormatting>
        <x14:conditionalFormatting xmlns:xm="http://schemas.microsoft.com/office/excel/2006/main">
          <x14:cfRule type="dataBar" id="{E4194FFF-1311-4B58-A756-1D278BF3D8E3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BL35</xm:sqref>
        </x14:conditionalFormatting>
        <x14:conditionalFormatting xmlns:xm="http://schemas.microsoft.com/office/excel/2006/main">
          <x14:cfRule type="dataBar" id="{D057DFF9-0494-4C81-9A1B-A5FD17AE74E6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BM35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Z48"/>
  <sheetViews>
    <sheetView showGridLines="0" tabSelected="1" zoomScale="55" zoomScaleNormal="55" workbookViewId="0">
      <pane xSplit="1" ySplit="2" topLeftCell="AT3" activePane="bottomRight" state="frozen"/>
      <selection pane="topRight" activeCell="B1" sqref="B1"/>
      <selection pane="bottomLeft" activeCell="A3" sqref="A3"/>
      <selection pane="bottomRight" activeCell="BQ13" sqref="BQ13"/>
    </sheetView>
  </sheetViews>
  <sheetFormatPr defaultRowHeight="16.5" x14ac:dyDescent="0.3"/>
  <cols>
    <col min="2" max="2" width="2.375" customWidth="1"/>
    <col min="38" max="38" width="9.875" bestFit="1" customWidth="1"/>
    <col min="41" max="41" width="9.875" bestFit="1" customWidth="1"/>
    <col min="43" max="43" width="9.875" bestFit="1" customWidth="1"/>
    <col min="45" max="46" width="9.875" bestFit="1" customWidth="1"/>
    <col min="54" max="54" width="9.875" bestFit="1" customWidth="1"/>
    <col min="56" max="56" width="9.875" bestFit="1" customWidth="1"/>
    <col min="61" max="61" width="11.25" bestFit="1" customWidth="1"/>
  </cols>
  <sheetData>
    <row r="1" spans="1:104" s="2" customFormat="1" ht="39" customHeight="1" thickBot="1" x14ac:dyDescent="0.35">
      <c r="A1" s="941">
        <v>46198</v>
      </c>
      <c r="B1" s="1"/>
      <c r="C1" s="942" t="s">
        <v>123</v>
      </c>
      <c r="D1" s="943"/>
      <c r="E1" s="943"/>
      <c r="F1" s="943"/>
      <c r="G1" s="943"/>
      <c r="H1" s="943"/>
      <c r="I1" s="943"/>
      <c r="J1" s="943"/>
      <c r="K1" s="944"/>
      <c r="L1" s="948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49"/>
      <c r="AI1" s="949"/>
      <c r="AJ1" s="949"/>
      <c r="AK1" s="949"/>
      <c r="AL1" s="949"/>
      <c r="AM1" s="949"/>
      <c r="AN1" s="949"/>
      <c r="AO1" s="950"/>
      <c r="AV1" s="23"/>
      <c r="AW1" s="24"/>
      <c r="AX1" s="25"/>
      <c r="AY1" s="24"/>
      <c r="AZ1" s="25"/>
      <c r="BA1" s="4"/>
      <c r="BB1" s="25"/>
      <c r="BC1" s="4"/>
      <c r="BD1" s="25"/>
    </row>
    <row r="2" spans="1:104" s="2" customFormat="1" ht="39" customHeight="1" thickBot="1" x14ac:dyDescent="0.35">
      <c r="A2" s="941"/>
      <c r="B2" s="1"/>
      <c r="C2" s="945"/>
      <c r="D2" s="946"/>
      <c r="E2" s="946"/>
      <c r="F2" s="946"/>
      <c r="G2" s="946"/>
      <c r="H2" s="946"/>
      <c r="I2" s="946"/>
      <c r="J2" s="946"/>
      <c r="K2" s="947"/>
      <c r="L2" s="948"/>
      <c r="M2" s="949"/>
      <c r="N2" s="949"/>
      <c r="O2" s="949"/>
      <c r="P2" s="949"/>
      <c r="Q2" s="949"/>
      <c r="R2" s="949"/>
      <c r="S2" s="949"/>
      <c r="T2" s="949"/>
      <c r="U2" s="949"/>
      <c r="V2" s="949"/>
      <c r="W2" s="949"/>
      <c r="X2" s="949"/>
      <c r="Y2" s="949"/>
      <c r="Z2" s="949"/>
      <c r="AA2" s="949"/>
      <c r="AB2" s="949"/>
      <c r="AC2" s="949"/>
      <c r="AD2" s="949"/>
      <c r="AE2" s="949"/>
      <c r="AF2" s="949"/>
      <c r="AG2" s="949"/>
      <c r="AH2" s="949"/>
      <c r="AI2" s="949"/>
      <c r="AJ2" s="949"/>
      <c r="AK2" s="949"/>
      <c r="AL2" s="949"/>
      <c r="AM2" s="949"/>
      <c r="AN2" s="949"/>
      <c r="AO2" s="950"/>
      <c r="AR2" s="3"/>
      <c r="AS2" s="291"/>
      <c r="AT2" s="3" t="s">
        <v>252</v>
      </c>
      <c r="AU2" s="292"/>
      <c r="AV2" s="3" t="s">
        <v>253</v>
      </c>
      <c r="AW2" s="388"/>
      <c r="AX2" s="3" t="s">
        <v>251</v>
      </c>
      <c r="AY2" s="472"/>
      <c r="AZ2" s="3" t="s">
        <v>107</v>
      </c>
      <c r="BA2" s="465"/>
      <c r="BB2" s="3" t="s">
        <v>286</v>
      </c>
      <c r="BC2" s="726"/>
      <c r="BD2" s="3" t="s">
        <v>108</v>
      </c>
      <c r="BE2" s="353"/>
      <c r="BF2" s="3" t="s">
        <v>0</v>
      </c>
      <c r="BG2" s="354"/>
      <c r="BH2" s="85" t="s">
        <v>167</v>
      </c>
      <c r="BI2" s="354"/>
      <c r="BJ2" s="85" t="s">
        <v>249</v>
      </c>
    </row>
    <row r="3" spans="1:104" s="2" customFormat="1" ht="12" customHeight="1" thickBot="1" x14ac:dyDescent="0.35">
      <c r="B3"/>
      <c r="C3"/>
    </row>
    <row r="4" spans="1:104" s="1" customFormat="1" ht="29.25" customHeight="1" thickBot="1" x14ac:dyDescent="0.35">
      <c r="A4" s="6" t="s">
        <v>1</v>
      </c>
      <c r="B4"/>
      <c r="C4" s="71" t="s">
        <v>124</v>
      </c>
      <c r="D4" s="13" t="s">
        <v>125</v>
      </c>
      <c r="E4" s="13" t="s">
        <v>125</v>
      </c>
      <c r="F4" s="13" t="s">
        <v>125</v>
      </c>
      <c r="G4" s="13" t="s">
        <v>126</v>
      </c>
      <c r="H4" s="13" t="s">
        <v>127</v>
      </c>
      <c r="I4" s="13" t="s">
        <v>127</v>
      </c>
      <c r="J4" s="13" t="s">
        <v>127</v>
      </c>
      <c r="K4" s="13" t="s">
        <v>127</v>
      </c>
      <c r="L4" s="13" t="s">
        <v>128</v>
      </c>
      <c r="M4" s="13" t="s">
        <v>129</v>
      </c>
      <c r="N4" s="13" t="s">
        <v>129</v>
      </c>
      <c r="O4" s="13" t="s">
        <v>130</v>
      </c>
      <c r="P4" s="13" t="s">
        <v>130</v>
      </c>
      <c r="Q4" s="13" t="s">
        <v>134</v>
      </c>
      <c r="R4" s="13" t="s">
        <v>134</v>
      </c>
      <c r="S4" s="13" t="s">
        <v>131</v>
      </c>
      <c r="T4" s="13" t="s">
        <v>132</v>
      </c>
      <c r="U4" s="13" t="s">
        <v>109</v>
      </c>
      <c r="V4" s="534" t="s">
        <v>133</v>
      </c>
      <c r="W4" s="531" t="s">
        <v>312</v>
      </c>
      <c r="X4" s="531" t="s">
        <v>311</v>
      </c>
      <c r="Y4" s="532" t="s">
        <v>310</v>
      </c>
      <c r="Z4" s="235" t="s">
        <v>1</v>
      </c>
      <c r="AA4" s="584" t="s">
        <v>2</v>
      </c>
      <c r="AB4" s="929" t="s">
        <v>5</v>
      </c>
      <c r="AC4" s="926"/>
      <c r="AD4" s="926"/>
      <c r="AE4" s="926"/>
      <c r="AF4" s="926"/>
      <c r="AG4" s="927"/>
      <c r="AH4" s="929" t="s">
        <v>3</v>
      </c>
      <c r="AI4" s="926"/>
      <c r="AJ4" s="926"/>
      <c r="AK4" s="926"/>
      <c r="AL4" s="927"/>
      <c r="AM4" s="929" t="s">
        <v>4</v>
      </c>
      <c r="AN4" s="926"/>
      <c r="AO4" s="927"/>
      <c r="AP4" s="925" t="s">
        <v>180</v>
      </c>
      <c r="AQ4" s="926"/>
      <c r="AR4" s="926"/>
      <c r="AS4" s="927"/>
      <c r="AT4" s="928" t="s">
        <v>181</v>
      </c>
      <c r="AU4" s="926"/>
      <c r="AV4" s="926"/>
      <c r="AW4" s="926"/>
      <c r="AX4" s="926"/>
      <c r="AY4" s="926"/>
      <c r="AZ4" s="926"/>
      <c r="BA4" s="927"/>
      <c r="BB4" s="929" t="s">
        <v>61</v>
      </c>
      <c r="BC4" s="927"/>
      <c r="BD4" s="929" t="s">
        <v>62</v>
      </c>
      <c r="BE4" s="926"/>
      <c r="BF4" s="926"/>
      <c r="BG4" s="926"/>
      <c r="BH4" s="926"/>
      <c r="BI4" s="926"/>
      <c r="BJ4" s="926"/>
      <c r="BK4" s="926"/>
      <c r="BL4" s="926"/>
      <c r="BM4" s="927"/>
      <c r="BN4" s="971" t="s">
        <v>223</v>
      </c>
      <c r="BO4" s="972"/>
      <c r="BP4" s="972"/>
      <c r="BQ4" s="972"/>
      <c r="BR4" s="973"/>
      <c r="BS4" s="974" t="s">
        <v>99</v>
      </c>
      <c r="BT4" s="972"/>
      <c r="BU4" s="972"/>
      <c r="BV4" s="972"/>
      <c r="BW4" s="972"/>
      <c r="BX4" s="972"/>
      <c r="BY4" s="972"/>
      <c r="BZ4" s="982" t="s">
        <v>224</v>
      </c>
      <c r="CA4" s="981"/>
      <c r="CB4" s="981"/>
      <c r="CC4" s="981"/>
      <c r="CD4" s="981"/>
      <c r="CE4" s="981"/>
      <c r="CF4" s="981"/>
      <c r="CG4" s="981"/>
      <c r="CH4" s="981"/>
      <c r="CI4" s="928"/>
      <c r="CJ4" s="981" t="s">
        <v>225</v>
      </c>
      <c r="CK4" s="981"/>
      <c r="CL4" s="981"/>
      <c r="CM4" s="981"/>
      <c r="CN4" s="981"/>
      <c r="CO4" s="981"/>
      <c r="CP4" s="981"/>
      <c r="CQ4" s="981"/>
      <c r="CR4" s="981"/>
      <c r="CS4" s="981"/>
      <c r="CT4" s="928"/>
      <c r="CU4" s="595" t="s">
        <v>1</v>
      </c>
      <c r="CV4" s="975" t="s">
        <v>314</v>
      </c>
      <c r="CW4" s="976"/>
      <c r="CX4" s="976"/>
      <c r="CY4" s="976"/>
      <c r="CZ4" s="977"/>
    </row>
    <row r="5" spans="1:104" s="2" customFormat="1" ht="21.95" customHeight="1" x14ac:dyDescent="0.3">
      <c r="A5" s="18" t="s">
        <v>6</v>
      </c>
      <c r="B5"/>
      <c r="C5" s="157"/>
      <c r="D5" s="144"/>
      <c r="E5" s="144"/>
      <c r="F5" s="144"/>
      <c r="G5" s="158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7"/>
      <c r="W5" s="157"/>
      <c r="X5" s="144"/>
      <c r="Y5" s="149"/>
      <c r="Z5" s="239" t="s">
        <v>6</v>
      </c>
      <c r="AA5" s="237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0"/>
      <c r="AM5" s="335"/>
      <c r="AN5" s="335"/>
      <c r="AO5" s="30"/>
      <c r="AP5" s="335"/>
      <c r="AQ5" s="30"/>
      <c r="AR5" s="335"/>
      <c r="AS5" s="30"/>
      <c r="AT5" s="30"/>
      <c r="AU5" s="335"/>
      <c r="AV5" s="335"/>
      <c r="AW5" s="335"/>
      <c r="AX5" s="30"/>
      <c r="AY5" s="335"/>
      <c r="AZ5" s="335"/>
      <c r="BA5" s="335"/>
      <c r="BB5" s="30"/>
      <c r="BC5" s="335"/>
      <c r="BD5" s="30"/>
      <c r="BE5" s="335"/>
      <c r="BF5" s="335"/>
      <c r="BG5" s="335"/>
      <c r="BH5" s="335"/>
      <c r="BI5" s="30"/>
      <c r="BJ5" s="335"/>
      <c r="BK5" s="335"/>
      <c r="BL5" s="335"/>
      <c r="BM5" s="336"/>
      <c r="BN5" s="293"/>
      <c r="BO5" s="335"/>
      <c r="BP5" s="335"/>
      <c r="BQ5" s="335"/>
      <c r="BR5" s="335"/>
      <c r="BS5" s="30"/>
      <c r="BT5" s="335"/>
      <c r="BU5" s="335"/>
      <c r="BV5" s="335"/>
      <c r="BW5" s="335"/>
      <c r="BX5" s="30"/>
      <c r="BY5" s="335"/>
      <c r="BZ5" s="335"/>
      <c r="CA5" s="335"/>
      <c r="CB5" s="335"/>
      <c r="CC5" s="335"/>
      <c r="CD5" s="335"/>
      <c r="CE5" s="30"/>
      <c r="CF5" s="335"/>
      <c r="CG5" s="335"/>
      <c r="CH5" s="335"/>
      <c r="CI5" s="335"/>
      <c r="CJ5" s="335"/>
      <c r="CK5" s="335"/>
      <c r="CL5" s="30"/>
      <c r="CM5" s="335"/>
      <c r="CN5" s="335"/>
      <c r="CO5" s="335"/>
      <c r="CP5" s="335"/>
      <c r="CQ5" s="335"/>
      <c r="CR5" s="30"/>
      <c r="CS5" s="30"/>
      <c r="CT5" s="336"/>
      <c r="CU5" s="596" t="s">
        <v>6</v>
      </c>
      <c r="CV5" s="293"/>
      <c r="CW5" s="30"/>
      <c r="CX5" s="30"/>
      <c r="CY5" s="80"/>
      <c r="CZ5" s="92"/>
    </row>
    <row r="6" spans="1:104" s="2" customFormat="1" ht="15" customHeight="1" x14ac:dyDescent="0.3">
      <c r="A6" s="19" t="s">
        <v>7</v>
      </c>
      <c r="B6"/>
      <c r="C6" s="728"/>
      <c r="D6" s="729"/>
      <c r="E6" s="729"/>
      <c r="F6" s="729"/>
      <c r="G6" s="729"/>
      <c r="H6" s="729"/>
      <c r="I6" s="729"/>
      <c r="J6" s="729"/>
      <c r="K6" s="729"/>
      <c r="L6" s="729"/>
      <c r="M6" s="729"/>
      <c r="N6" s="729"/>
      <c r="O6" s="729"/>
      <c r="P6" s="729"/>
      <c r="Q6" s="729"/>
      <c r="R6" s="729"/>
      <c r="S6" s="729"/>
      <c r="T6" s="729"/>
      <c r="U6" s="729"/>
      <c r="V6" s="729"/>
      <c r="W6" s="728"/>
      <c r="X6" s="729"/>
      <c r="Y6" s="730"/>
      <c r="Z6" s="240" t="s">
        <v>7</v>
      </c>
      <c r="AA6" s="930"/>
      <c r="AB6" s="740"/>
      <c r="AC6" s="740"/>
      <c r="AD6" s="740"/>
      <c r="AE6" s="740">
        <v>34</v>
      </c>
      <c r="AF6" s="740"/>
      <c r="AG6" s="741"/>
      <c r="AH6" s="740">
        <v>23</v>
      </c>
      <c r="AI6" s="740">
        <v>19</v>
      </c>
      <c r="AJ6" s="741"/>
      <c r="AK6" s="740"/>
      <c r="AL6" s="631"/>
      <c r="AM6" s="740"/>
      <c r="AN6" s="740"/>
      <c r="AO6" s="631"/>
      <c r="AP6" s="740"/>
      <c r="AQ6" s="631"/>
      <c r="AR6" s="740">
        <v>8</v>
      </c>
      <c r="AS6" s="629"/>
      <c r="AT6" s="628"/>
      <c r="AU6" s="740"/>
      <c r="AV6" s="740">
        <v>56</v>
      </c>
      <c r="AW6" s="740"/>
      <c r="AX6" s="626"/>
      <c r="AY6" s="740"/>
      <c r="AZ6" s="741"/>
      <c r="BA6" s="740"/>
      <c r="BB6" s="631"/>
      <c r="BC6" s="740"/>
      <c r="BD6" s="631"/>
      <c r="BE6" s="740">
        <v>33</v>
      </c>
      <c r="BF6" s="741"/>
      <c r="BG6" s="740"/>
      <c r="BH6" s="740">
        <v>46</v>
      </c>
      <c r="BI6" s="631"/>
      <c r="BJ6" s="741">
        <v>22</v>
      </c>
      <c r="BK6" s="740"/>
      <c r="BL6" s="741"/>
      <c r="BM6" s="749"/>
      <c r="BN6" s="152"/>
      <c r="BO6" s="256"/>
      <c r="BP6" s="256"/>
      <c r="BQ6" s="268"/>
      <c r="BR6" s="256"/>
      <c r="BS6"/>
      <c r="BT6" s="256"/>
      <c r="BU6" s="256"/>
      <c r="BV6" s="256"/>
      <c r="BW6" s="256"/>
      <c r="BX6"/>
      <c r="BY6" s="256"/>
      <c r="BZ6" s="268"/>
      <c r="CA6" s="256"/>
      <c r="CB6" s="256"/>
      <c r="CC6" s="256"/>
      <c r="CD6" s="256"/>
      <c r="CE6"/>
      <c r="CF6" s="256"/>
      <c r="CG6" s="268"/>
      <c r="CH6" s="256"/>
      <c r="CI6" s="256"/>
      <c r="CJ6" s="256">
        <v>52</v>
      </c>
      <c r="CK6" s="621"/>
      <c r="CL6"/>
      <c r="CM6" s="268"/>
      <c r="CN6" s="256"/>
      <c r="CO6" s="256">
        <v>49</v>
      </c>
      <c r="CP6" s="256"/>
      <c r="CQ6" s="256"/>
      <c r="CR6"/>
      <c r="CS6"/>
      <c r="CT6" s="275"/>
      <c r="CU6" s="240" t="s">
        <v>7</v>
      </c>
      <c r="CV6" s="305"/>
      <c r="CW6" s="306"/>
      <c r="CX6" s="306"/>
      <c r="CY6" s="306"/>
      <c r="CZ6" s="307"/>
    </row>
    <row r="7" spans="1:104" s="1" customFormat="1" ht="30" customHeight="1" x14ac:dyDescent="0.3">
      <c r="A7" s="6" t="s">
        <v>8</v>
      </c>
      <c r="B7"/>
      <c r="C7" s="731" t="s">
        <v>315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 s="731" t="s">
        <v>316</v>
      </c>
      <c r="X7"/>
      <c r="Y7" s="93"/>
      <c r="Z7" s="241" t="s">
        <v>8</v>
      </c>
      <c r="AA7" s="931"/>
      <c r="AB7" s="761">
        <v>60</v>
      </c>
      <c r="AC7" s="762">
        <v>17</v>
      </c>
      <c r="AD7" s="761">
        <v>26</v>
      </c>
      <c r="AE7" s="763">
        <v>43</v>
      </c>
      <c r="AF7" s="764">
        <v>14.020618556701031</v>
      </c>
      <c r="AG7" s="764">
        <v>28</v>
      </c>
      <c r="AH7" s="763">
        <v>29</v>
      </c>
      <c r="AI7" s="763">
        <v>45</v>
      </c>
      <c r="AJ7" s="764">
        <v>8.2721649484536091</v>
      </c>
      <c r="AK7" s="763">
        <v>28.607232366630864</v>
      </c>
      <c r="AL7" s="641"/>
      <c r="AM7" s="763">
        <v>7</v>
      </c>
      <c r="AN7" s="763">
        <v>25</v>
      </c>
      <c r="AO7" s="641"/>
      <c r="AP7" s="765">
        <v>20</v>
      </c>
      <c r="AQ7" s="641"/>
      <c r="AR7" s="765">
        <v>47</v>
      </c>
      <c r="AS7" s="642"/>
      <c r="AT7" s="643"/>
      <c r="AU7" s="765">
        <v>63</v>
      </c>
      <c r="AV7" s="765">
        <v>38</v>
      </c>
      <c r="AW7" s="765">
        <v>19.903329752953812</v>
      </c>
      <c r="AX7" s="632"/>
      <c r="AY7" s="765">
        <v>7.8122977346278315</v>
      </c>
      <c r="AZ7" s="766">
        <v>18.647422680412372</v>
      </c>
      <c r="BA7" s="765">
        <v>53</v>
      </c>
      <c r="BB7" s="641"/>
      <c r="BC7" s="765">
        <v>17.80618556701031</v>
      </c>
      <c r="BD7" s="641"/>
      <c r="BE7" s="765">
        <v>34</v>
      </c>
      <c r="BF7" s="766">
        <v>56</v>
      </c>
      <c r="BG7" s="765"/>
      <c r="BH7" s="765">
        <v>35</v>
      </c>
      <c r="BI7" s="641"/>
      <c r="BJ7" s="766">
        <v>19</v>
      </c>
      <c r="BK7" s="765">
        <v>4.9910490511994272</v>
      </c>
      <c r="BL7" s="766">
        <v>37</v>
      </c>
      <c r="BM7" s="788">
        <v>13.038834951456311</v>
      </c>
      <c r="BN7" s="212"/>
      <c r="BO7" s="390">
        <v>30</v>
      </c>
      <c r="BP7" s="390">
        <v>35</v>
      </c>
      <c r="BQ7" s="389">
        <v>13</v>
      </c>
      <c r="BR7" s="390">
        <v>27.694235588972433</v>
      </c>
      <c r="BS7" s="213"/>
      <c r="BT7" s="390">
        <v>23</v>
      </c>
      <c r="BU7" s="390">
        <v>23.372717508055857</v>
      </c>
      <c r="BV7" s="390">
        <v>28.911564625850342</v>
      </c>
      <c r="BW7" s="265">
        <v>15.352577319587629</v>
      </c>
      <c r="BX7" s="213"/>
      <c r="BY7" s="390">
        <v>25.746509129967777</v>
      </c>
      <c r="BZ7" s="389">
        <v>18.507216494845363</v>
      </c>
      <c r="CA7" s="390"/>
      <c r="CB7" s="390">
        <v>8.4724919093851128</v>
      </c>
      <c r="CC7" s="390">
        <v>5.1127819548872182</v>
      </c>
      <c r="CD7" s="697">
        <v>14.084142394822006</v>
      </c>
      <c r="CE7" s="213"/>
      <c r="CF7" s="390">
        <v>22.277121374865736</v>
      </c>
      <c r="CG7" s="389">
        <v>18.08659793814433</v>
      </c>
      <c r="CH7" s="390">
        <v>33</v>
      </c>
      <c r="CI7" s="390">
        <v>44</v>
      </c>
      <c r="CJ7" s="390">
        <v>51</v>
      </c>
      <c r="CK7" s="390">
        <v>29.094163981382028</v>
      </c>
      <c r="CL7" s="213"/>
      <c r="CM7" s="389">
        <v>5.1127819548872182</v>
      </c>
      <c r="CN7" s="390">
        <v>42</v>
      </c>
      <c r="CO7" s="697">
        <v>54</v>
      </c>
      <c r="CP7" s="390">
        <v>62</v>
      </c>
      <c r="CQ7" s="390">
        <v>43</v>
      </c>
      <c r="CR7" s="214"/>
      <c r="CS7" s="215"/>
      <c r="CT7" s="394">
        <v>11.637113402061855</v>
      </c>
      <c r="CU7" s="241" t="s">
        <v>8</v>
      </c>
      <c r="CV7" s="308"/>
      <c r="CW7" s="309"/>
      <c r="CX7" s="310"/>
      <c r="CY7" s="311"/>
      <c r="CZ7" s="312"/>
    </row>
    <row r="8" spans="1:104" s="1" customFormat="1" ht="15" customHeight="1" x14ac:dyDescent="0.3">
      <c r="A8" s="6" t="s">
        <v>101</v>
      </c>
      <c r="B8"/>
      <c r="C8" s="14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 s="14"/>
      <c r="X8"/>
      <c r="Y8" s="93"/>
      <c r="Z8" s="241" t="s">
        <v>101</v>
      </c>
      <c r="AA8" s="932"/>
      <c r="AB8" s="691"/>
      <c r="AC8" s="544"/>
      <c r="AD8" s="744"/>
      <c r="AE8" s="452"/>
      <c r="AF8" s="544"/>
      <c r="AG8" s="744"/>
      <c r="AH8" s="551"/>
      <c r="AI8" s="551"/>
      <c r="AJ8" s="760"/>
      <c r="AK8" s="551"/>
      <c r="AL8" s="705"/>
      <c r="AM8" s="544"/>
      <c r="AN8" s="544"/>
      <c r="AO8" s="699"/>
      <c r="AP8" s="544"/>
      <c r="AQ8" s="625"/>
      <c r="AR8" s="544"/>
      <c r="AS8" s="630"/>
      <c r="AT8" s="627"/>
      <c r="AU8" s="544"/>
      <c r="AV8" s="544"/>
      <c r="AW8" s="544"/>
      <c r="AX8" s="633"/>
      <c r="AY8" s="544"/>
      <c r="AZ8" s="464"/>
      <c r="BA8" s="551"/>
      <c r="BB8" s="625"/>
      <c r="BC8" s="544"/>
      <c r="BD8" s="625"/>
      <c r="BE8" s="544"/>
      <c r="BF8" s="464"/>
      <c r="BG8" s="544"/>
      <c r="BH8" s="551"/>
      <c r="BI8" s="625"/>
      <c r="BJ8" s="464"/>
      <c r="BK8" s="544"/>
      <c r="BL8" s="464"/>
      <c r="BM8" s="767"/>
      <c r="BN8" s="210"/>
      <c r="BO8" s="458"/>
      <c r="BP8" s="458"/>
      <c r="BQ8" s="457"/>
      <c r="BR8" s="458"/>
      <c r="BS8" s="160"/>
      <c r="BT8" s="458"/>
      <c r="BU8" s="458"/>
      <c r="BV8" s="262"/>
      <c r="BW8" s="458"/>
      <c r="BX8" s="160"/>
      <c r="BY8" s="458"/>
      <c r="BZ8" s="458"/>
      <c r="CA8" s="262"/>
      <c r="CB8" s="262"/>
      <c r="CC8" s="257"/>
      <c r="CD8" s="458"/>
      <c r="CE8" s="700"/>
      <c r="CF8" s="262"/>
      <c r="CG8" s="458"/>
      <c r="CH8" s="262"/>
      <c r="CI8" s="262"/>
      <c r="CJ8" s="262"/>
      <c r="CK8" s="262"/>
      <c r="CL8" s="208"/>
      <c r="CM8" s="257"/>
      <c r="CN8" s="257"/>
      <c r="CO8" s="458"/>
      <c r="CP8" s="696"/>
      <c r="CQ8" s="262"/>
      <c r="CR8" s="209"/>
      <c r="CS8" s="211"/>
      <c r="CT8" s="288"/>
      <c r="CU8" s="241" t="s">
        <v>101</v>
      </c>
      <c r="CV8" s="313"/>
      <c r="CW8" s="309"/>
      <c r="CX8" s="310"/>
      <c r="CY8" s="309"/>
      <c r="CZ8" s="314"/>
    </row>
    <row r="9" spans="1:104" s="2" customFormat="1" ht="15" customHeight="1" x14ac:dyDescent="0.3">
      <c r="A9" s="19" t="s">
        <v>9</v>
      </c>
      <c r="B9"/>
      <c r="C9" s="14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 s="14"/>
      <c r="X9"/>
      <c r="Y9" s="93"/>
      <c r="Z9" s="240" t="s">
        <v>9</v>
      </c>
      <c r="AA9" s="752"/>
      <c r="AB9" s="750"/>
      <c r="AC9" s="750"/>
      <c r="AD9" s="750"/>
      <c r="AE9" s="750"/>
      <c r="AF9" s="750"/>
      <c r="AG9" s="742"/>
      <c r="AH9" s="750"/>
      <c r="AI9" s="750"/>
      <c r="AJ9" s="750"/>
      <c r="AK9" s="750"/>
      <c r="AL9" s="742"/>
      <c r="AM9" s="743"/>
      <c r="AN9" s="750"/>
      <c r="AO9" s="742"/>
      <c r="AP9" s="750"/>
      <c r="AQ9" s="745"/>
      <c r="AR9" s="743"/>
      <c r="AS9" s="644"/>
      <c r="AT9" s="742"/>
      <c r="AU9" s="750"/>
      <c r="AV9" s="743"/>
      <c r="AW9" s="742"/>
      <c r="AX9" s="742"/>
      <c r="AY9" s="743"/>
      <c r="AZ9" s="750"/>
      <c r="BA9" s="742"/>
      <c r="BB9" s="742"/>
      <c r="BC9" s="750"/>
      <c r="BD9" s="742"/>
      <c r="BE9" s="750"/>
      <c r="BF9" s="750"/>
      <c r="BG9" s="743"/>
      <c r="BH9" s="743"/>
      <c r="BI9" s="742"/>
      <c r="BJ9" s="742"/>
      <c r="BK9" s="743"/>
      <c r="BL9" s="750"/>
      <c r="BM9" s="751"/>
      <c r="BN9" s="280"/>
      <c r="BO9" s="259"/>
      <c r="BP9" s="259"/>
      <c r="BQ9" s="259"/>
      <c r="BR9" s="259"/>
      <c r="BS9" s="261"/>
      <c r="BT9" s="263"/>
      <c r="BU9" s="263"/>
      <c r="BV9" s="259"/>
      <c r="BW9" s="911"/>
      <c r="BX9" s="261"/>
      <c r="BY9" s="259"/>
      <c r="BZ9" s="259"/>
      <c r="CA9" s="263"/>
      <c r="CB9" s="259"/>
      <c r="CC9" s="259"/>
      <c r="CD9" s="551"/>
      <c r="CE9" s="140"/>
      <c r="CF9" s="259"/>
      <c r="CG9" s="261"/>
      <c r="CH9" s="259"/>
      <c r="CI9" s="259"/>
      <c r="CJ9" s="263"/>
      <c r="CK9" s="259"/>
      <c r="CL9" s="208"/>
      <c r="CM9" s="259"/>
      <c r="CN9" s="263"/>
      <c r="CO9" s="475"/>
      <c r="CP9" s="263"/>
      <c r="CQ9" s="263"/>
      <c r="CR9" s="209"/>
      <c r="CS9" s="261"/>
      <c r="CT9" s="273"/>
      <c r="CU9" s="240" t="s">
        <v>9</v>
      </c>
      <c r="CV9" s="315"/>
      <c r="CW9" s="316"/>
      <c r="CX9" s="316"/>
      <c r="CY9" s="316"/>
      <c r="CZ9" s="317"/>
    </row>
    <row r="10" spans="1:104" s="1" customFormat="1" ht="30" customHeight="1" x14ac:dyDescent="0.3">
      <c r="A10" s="6" t="s">
        <v>10</v>
      </c>
      <c r="B10"/>
      <c r="C10" s="14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 s="14"/>
      <c r="X10"/>
      <c r="Y10" s="93"/>
      <c r="Z10" s="552" t="s">
        <v>10</v>
      </c>
      <c r="AA10" s="770">
        <v>17</v>
      </c>
      <c r="AB10" s="770">
        <v>59</v>
      </c>
      <c r="AC10" s="868">
        <v>28</v>
      </c>
      <c r="AD10" s="770">
        <v>58</v>
      </c>
      <c r="AE10" s="766">
        <v>46.04081632653061</v>
      </c>
      <c r="AF10" s="766">
        <v>31.010309278350519</v>
      </c>
      <c r="AG10" s="764">
        <v>51.156462585034014</v>
      </c>
      <c r="AH10" s="763">
        <v>32</v>
      </c>
      <c r="AI10" s="763">
        <v>37</v>
      </c>
      <c r="AJ10" s="764">
        <v>18.296082474226804</v>
      </c>
      <c r="AK10" s="763">
        <v>63.272466881489436</v>
      </c>
      <c r="AL10" s="764">
        <v>29.176328502415458</v>
      </c>
      <c r="AM10" s="765">
        <v>12.116004296455424</v>
      </c>
      <c r="AN10" s="763">
        <v>32</v>
      </c>
      <c r="AO10" s="766">
        <v>22</v>
      </c>
      <c r="AP10" s="763">
        <v>14</v>
      </c>
      <c r="AQ10" s="764">
        <v>10.941434846266471</v>
      </c>
      <c r="AR10" s="763">
        <v>50</v>
      </c>
      <c r="AS10" s="645"/>
      <c r="AT10" s="764">
        <v>19.061493411420205</v>
      </c>
      <c r="AU10" s="765">
        <v>38</v>
      </c>
      <c r="AV10" s="765">
        <v>69</v>
      </c>
      <c r="AW10" s="766">
        <v>44.021482277121372</v>
      </c>
      <c r="AX10" s="860">
        <v>8.9458272327964856</v>
      </c>
      <c r="AY10" s="861">
        <v>17.278964401294498</v>
      </c>
      <c r="AZ10" s="860">
        <v>35</v>
      </c>
      <c r="BA10" s="860">
        <v>62</v>
      </c>
      <c r="BB10" s="860">
        <v>17.822840409956076</v>
      </c>
      <c r="BC10" s="860">
        <v>39.383092783505155</v>
      </c>
      <c r="BD10" s="860">
        <v>11.767203513909225</v>
      </c>
      <c r="BE10" s="861">
        <v>38</v>
      </c>
      <c r="BF10" s="860">
        <v>55</v>
      </c>
      <c r="BG10" s="861">
        <v>35</v>
      </c>
      <c r="BH10" s="861">
        <v>44.156104547081988</v>
      </c>
      <c r="BI10" s="860">
        <v>14.283367556468173</v>
      </c>
      <c r="BJ10" s="860">
        <v>30.390103092783509</v>
      </c>
      <c r="BK10" s="861">
        <v>11.039026136770497</v>
      </c>
      <c r="BL10" s="860">
        <v>31</v>
      </c>
      <c r="BM10" s="861">
        <v>28.83883495145631</v>
      </c>
      <c r="BN10" s="880">
        <v>35</v>
      </c>
      <c r="BO10" s="390">
        <v>25</v>
      </c>
      <c r="BP10" s="390">
        <v>34.922977346278316</v>
      </c>
      <c r="BQ10" s="389">
        <v>38</v>
      </c>
      <c r="BR10" s="389">
        <v>61.253132832080198</v>
      </c>
      <c r="BS10" s="389">
        <v>23</v>
      </c>
      <c r="BT10" s="390">
        <v>36.812297734627798</v>
      </c>
      <c r="BU10" s="390">
        <v>51.694951664876477</v>
      </c>
      <c r="BV10" s="265">
        <v>63.945578231292515</v>
      </c>
      <c r="BW10" s="912">
        <v>33.956288659793813</v>
      </c>
      <c r="BX10" s="389">
        <v>17</v>
      </c>
      <c r="BY10" s="390">
        <v>47</v>
      </c>
      <c r="BZ10" s="389">
        <v>40.933608247422683</v>
      </c>
      <c r="CA10" s="697">
        <v>21.401171303074673</v>
      </c>
      <c r="CB10" s="390">
        <v>18.739158576051778</v>
      </c>
      <c r="CC10" s="390">
        <v>11.308270676691729</v>
      </c>
      <c r="CD10" s="390">
        <v>31.150809061488673</v>
      </c>
      <c r="CE10" s="389"/>
      <c r="CF10" s="697">
        <v>49.271750805585391</v>
      </c>
      <c r="CG10" s="566">
        <v>40.003298969072169</v>
      </c>
      <c r="CH10" s="390">
        <v>38</v>
      </c>
      <c r="CI10" s="390">
        <v>45.144336569579288</v>
      </c>
      <c r="CJ10" s="390">
        <v>69.195846759756535</v>
      </c>
      <c r="CK10" s="385">
        <v>61</v>
      </c>
      <c r="CL10" s="266"/>
      <c r="CM10" s="887">
        <v>11.308270676691729</v>
      </c>
      <c r="CN10" s="390">
        <v>40</v>
      </c>
      <c r="CO10" s="889">
        <v>59.77228786251343</v>
      </c>
      <c r="CP10" s="390">
        <v>75.868600071607602</v>
      </c>
      <c r="CQ10" s="888">
        <v>45.120000000000005</v>
      </c>
      <c r="CR10" s="216"/>
      <c r="CS10" s="389">
        <v>30</v>
      </c>
      <c r="CT10" s="890">
        <v>25.73855670103093</v>
      </c>
      <c r="CU10" s="241" t="s">
        <v>10</v>
      </c>
      <c r="CV10" s="318"/>
      <c r="CW10" s="309"/>
      <c r="CX10" s="310"/>
      <c r="CY10" s="319"/>
      <c r="CZ10" s="312"/>
    </row>
    <row r="11" spans="1:104" s="1" customFormat="1" ht="12.75" customHeight="1" x14ac:dyDescent="0.3">
      <c r="A11" s="6" t="s">
        <v>102</v>
      </c>
      <c r="B11"/>
      <c r="C11" s="14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s="14"/>
      <c r="X11"/>
      <c r="Y11" s="93"/>
      <c r="Z11" s="241" t="s">
        <v>102</v>
      </c>
      <c r="AA11" s="691"/>
      <c r="AB11" s="691"/>
      <c r="AC11" s="691"/>
      <c r="AD11" s="477"/>
      <c r="AE11" s="477"/>
      <c r="AF11" s="464"/>
      <c r="AG11" s="744"/>
      <c r="AH11" s="464"/>
      <c r="AI11" s="464"/>
      <c r="AJ11" s="691"/>
      <c r="AK11" s="769"/>
      <c r="AL11" s="452"/>
      <c r="AM11" s="464"/>
      <c r="AN11" s="452"/>
      <c r="AO11" s="464"/>
      <c r="AP11" s="464"/>
      <c r="AQ11" s="464"/>
      <c r="AR11" s="544"/>
      <c r="AS11" s="715"/>
      <c r="AT11" s="477"/>
      <c r="AU11" s="544"/>
      <c r="AV11" s="564"/>
      <c r="AW11" s="464"/>
      <c r="AX11" s="564"/>
      <c r="AY11" s="564"/>
      <c r="AZ11" s="464"/>
      <c r="BA11" s="464"/>
      <c r="BB11" s="464"/>
      <c r="BC11" s="464"/>
      <c r="BD11" s="464"/>
      <c r="BE11" s="768"/>
      <c r="BF11" s="464"/>
      <c r="BG11" s="564"/>
      <c r="BH11" s="564"/>
      <c r="BI11" s="464"/>
      <c r="BJ11" s="477"/>
      <c r="BK11" s="544"/>
      <c r="BL11" s="452"/>
      <c r="BM11" s="767"/>
      <c r="BN11" s="467"/>
      <c r="BO11" s="496"/>
      <c r="BP11" s="456"/>
      <c r="BQ11" s="266"/>
      <c r="BR11" s="266"/>
      <c r="BS11" s="341"/>
      <c r="BT11" s="344"/>
      <c r="BU11" s="344"/>
      <c r="BV11" s="344"/>
      <c r="BW11" s="912"/>
      <c r="BX11" s="341"/>
      <c r="BY11" s="265"/>
      <c r="BZ11" s="468"/>
      <c r="CA11" s="721"/>
      <c r="CB11" s="493"/>
      <c r="CC11" s="265"/>
      <c r="CD11" s="263"/>
      <c r="CE11" s="341"/>
      <c r="CF11" s="721"/>
      <c r="CG11" s="685"/>
      <c r="CH11" s="685"/>
      <c r="CI11" s="344"/>
      <c r="CJ11" s="496"/>
      <c r="CK11" s="265"/>
      <c r="CL11" s="265"/>
      <c r="CM11" s="341"/>
      <c r="CN11" s="345"/>
      <c r="CO11" s="721"/>
      <c r="CP11" s="685"/>
      <c r="CQ11" s="265"/>
      <c r="CR11" s="217"/>
      <c r="CS11" s="341"/>
      <c r="CT11" s="274"/>
      <c r="CU11" s="241" t="s">
        <v>102</v>
      </c>
      <c r="CV11" s="308"/>
      <c r="CW11" s="309"/>
      <c r="CX11" s="310"/>
      <c r="CY11" s="310"/>
      <c r="CZ11" s="314"/>
    </row>
    <row r="12" spans="1:104" s="2" customFormat="1" ht="15" customHeight="1" x14ac:dyDescent="0.3">
      <c r="A12" s="19" t="s">
        <v>11</v>
      </c>
      <c r="B12"/>
      <c r="C12" s="14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s="14"/>
      <c r="X12"/>
      <c r="Y12" s="93"/>
      <c r="Z12" s="240" t="s">
        <v>11</v>
      </c>
      <c r="AA12" s="753"/>
      <c r="AB12" s="750"/>
      <c r="AC12" s="754"/>
      <c r="AD12" s="755"/>
      <c r="AE12" s="756"/>
      <c r="AF12" s="757"/>
      <c r="AG12" s="750"/>
      <c r="AH12" s="750"/>
      <c r="AI12" s="750"/>
      <c r="AJ12" s="750"/>
      <c r="AK12" s="750"/>
      <c r="AL12" s="742"/>
      <c r="AM12" s="750"/>
      <c r="AN12" s="750"/>
      <c r="AO12" s="742"/>
      <c r="AP12" s="743"/>
      <c r="AQ12" s="742"/>
      <c r="AR12" s="756"/>
      <c r="AS12" s="742"/>
      <c r="AT12" s="747"/>
      <c r="AU12" s="758"/>
      <c r="AV12" s="747"/>
      <c r="AW12" s="878"/>
      <c r="AX12" s="750"/>
      <c r="AY12" s="750"/>
      <c r="AZ12" s="750"/>
      <c r="BA12" s="756"/>
      <c r="BB12" s="750"/>
      <c r="BC12" s="750"/>
      <c r="BD12" s="754"/>
      <c r="BE12" s="756"/>
      <c r="BF12" s="758"/>
      <c r="BG12" s="756"/>
      <c r="BH12" s="759"/>
      <c r="BI12" s="758"/>
      <c r="BJ12" s="756"/>
      <c r="BK12" s="757"/>
      <c r="BL12" s="750"/>
      <c r="BM12" s="751"/>
      <c r="BN12" s="282"/>
      <c r="BO12" s="497"/>
      <c r="BP12" s="576"/>
      <c r="BQ12" s="497"/>
      <c r="BR12" s="286"/>
      <c r="BS12" s="286"/>
      <c r="BT12" s="286"/>
      <c r="BU12" s="267"/>
      <c r="BV12" s="286"/>
      <c r="BW12" s="913"/>
      <c r="BX12" s="286"/>
      <c r="BY12" s="445"/>
      <c r="BZ12" s="340"/>
      <c r="CA12" s="491"/>
      <c r="CB12" s="286"/>
      <c r="CC12" s="286"/>
      <c r="CD12" s="267"/>
      <c r="CE12" s="286"/>
      <c r="CF12" s="550"/>
      <c r="CG12" s="550"/>
      <c r="CH12" s="352"/>
      <c r="CI12" s="445"/>
      <c r="CJ12" s="352"/>
      <c r="CK12" s="447"/>
      <c r="CL12" s="264"/>
      <c r="CM12" s="264"/>
      <c r="CN12" s="445"/>
      <c r="CO12" s="719"/>
      <c r="CP12" s="565"/>
      <c r="CQ12" s="286"/>
      <c r="CR12" s="264"/>
      <c r="CS12" s="264"/>
      <c r="CT12" s="276"/>
      <c r="CU12" s="240" t="s">
        <v>11</v>
      </c>
      <c r="CV12" s="281">
        <v>16</v>
      </c>
      <c r="CW12" s="392">
        <v>107</v>
      </c>
      <c r="CX12" s="316"/>
      <c r="CY12" s="316"/>
      <c r="CZ12" s="618">
        <v>37</v>
      </c>
    </row>
    <row r="13" spans="1:104" s="1" customFormat="1" ht="30" customHeight="1" x14ac:dyDescent="0.3">
      <c r="A13" s="6" t="s">
        <v>12</v>
      </c>
      <c r="B13"/>
      <c r="C13" s="14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s="14"/>
      <c r="X13"/>
      <c r="Y13" s="93"/>
      <c r="Z13" s="552" t="s">
        <v>12</v>
      </c>
      <c r="AA13" s="866">
        <v>29</v>
      </c>
      <c r="AB13" s="770">
        <v>50</v>
      </c>
      <c r="AC13" s="761">
        <v>27</v>
      </c>
      <c r="AD13" s="772">
        <v>6</v>
      </c>
      <c r="AE13" s="773">
        <v>5</v>
      </c>
      <c r="AF13" s="774">
        <v>26.39175257731959</v>
      </c>
      <c r="AG13" s="764">
        <v>43.537414965986393</v>
      </c>
      <c r="AH13" s="763">
        <v>31</v>
      </c>
      <c r="AI13" s="763">
        <v>33</v>
      </c>
      <c r="AJ13" s="764">
        <v>15.571134020618556</v>
      </c>
      <c r="AK13" s="763">
        <v>53.848907984246331</v>
      </c>
      <c r="AL13" s="764">
        <v>56</v>
      </c>
      <c r="AM13" s="763">
        <v>10.311493018259936</v>
      </c>
      <c r="AN13" s="873">
        <v>27</v>
      </c>
      <c r="AO13" s="870">
        <v>37</v>
      </c>
      <c r="AP13" s="763">
        <v>16</v>
      </c>
      <c r="AQ13" s="764">
        <v>16</v>
      </c>
      <c r="AR13" s="773">
        <v>27</v>
      </c>
      <c r="AS13" s="766">
        <v>9.4189602446483178</v>
      </c>
      <c r="AT13" s="773">
        <v>5</v>
      </c>
      <c r="AU13" s="774">
        <v>36</v>
      </c>
      <c r="AV13" s="773">
        <v>8</v>
      </c>
      <c r="AW13" s="879">
        <v>37.465091299677766</v>
      </c>
      <c r="AX13" s="766">
        <v>15.226939970717424</v>
      </c>
      <c r="AY13" s="765">
        <v>14.705501618122979</v>
      </c>
      <c r="AZ13" s="766">
        <v>35</v>
      </c>
      <c r="BA13" s="775">
        <v>26</v>
      </c>
      <c r="BB13" s="766">
        <v>30.336749633967791</v>
      </c>
      <c r="BC13" s="766">
        <v>33.517525773195878</v>
      </c>
      <c r="BD13" s="766">
        <v>20.029282576866766</v>
      </c>
      <c r="BE13" s="773">
        <v>9</v>
      </c>
      <c r="BF13" s="774">
        <v>54</v>
      </c>
      <c r="BG13" s="773">
        <v>17</v>
      </c>
      <c r="BH13" s="776">
        <v>2</v>
      </c>
      <c r="BI13" s="774">
        <v>24.312114989733061</v>
      </c>
      <c r="BJ13" s="773">
        <v>4</v>
      </c>
      <c r="BK13" s="777">
        <v>9.3949158610812749</v>
      </c>
      <c r="BL13" s="764">
        <v>34</v>
      </c>
      <c r="BM13" s="765">
        <v>24.543689320388349</v>
      </c>
      <c r="BN13" s="281">
        <v>37</v>
      </c>
      <c r="BO13" s="341">
        <v>61</v>
      </c>
      <c r="BP13" s="341">
        <v>25</v>
      </c>
      <c r="BQ13" s="344">
        <v>12</v>
      </c>
      <c r="BR13" s="881">
        <v>52.130325814536342</v>
      </c>
      <c r="BS13" s="389">
        <v>27</v>
      </c>
      <c r="BT13" s="265">
        <v>36</v>
      </c>
      <c r="BU13" s="265">
        <v>43.995703544575726</v>
      </c>
      <c r="BV13" s="265">
        <v>54.421768707482997</v>
      </c>
      <c r="BW13" s="914">
        <v>28.898969072164949</v>
      </c>
      <c r="BX13" s="389">
        <v>26</v>
      </c>
      <c r="BY13" s="389">
        <v>48.464017185821696</v>
      </c>
      <c r="BZ13" s="344">
        <v>34.83711340206186</v>
      </c>
      <c r="CA13" s="493">
        <v>36.427525622254763</v>
      </c>
      <c r="CB13" s="265">
        <v>15.94822006472492</v>
      </c>
      <c r="CC13" s="265">
        <v>9.6240601503759393</v>
      </c>
      <c r="CD13" s="265">
        <v>26.511326860841425</v>
      </c>
      <c r="CE13" s="266">
        <v>23.22951605174892</v>
      </c>
      <c r="CF13" s="265">
        <v>41.933404940923737</v>
      </c>
      <c r="CG13" s="266">
        <v>34.045360824742268</v>
      </c>
      <c r="CH13" s="344">
        <v>35</v>
      </c>
      <c r="CI13" s="266">
        <v>38.420711974110034</v>
      </c>
      <c r="CJ13" s="344">
        <v>7</v>
      </c>
      <c r="CK13" s="493">
        <v>54.765485141424989</v>
      </c>
      <c r="CL13" s="389">
        <v>14.259702922855773</v>
      </c>
      <c r="CM13" s="389">
        <v>9.6240601503759393</v>
      </c>
      <c r="CN13" s="389">
        <v>41</v>
      </c>
      <c r="CO13" s="888">
        <v>2</v>
      </c>
      <c r="CP13" s="698">
        <v>45</v>
      </c>
      <c r="CQ13" s="617">
        <v>38.4</v>
      </c>
      <c r="CR13" s="385">
        <v>18</v>
      </c>
      <c r="CS13" s="389">
        <v>28</v>
      </c>
      <c r="CT13" s="394">
        <v>21.905154639175258</v>
      </c>
      <c r="CU13" s="241" t="s">
        <v>12</v>
      </c>
      <c r="CV13" s="556">
        <v>21</v>
      </c>
      <c r="CW13" s="549">
        <v>25</v>
      </c>
      <c r="CX13" s="310"/>
      <c r="CY13" s="319"/>
      <c r="CZ13" s="394">
        <v>12</v>
      </c>
    </row>
    <row r="14" spans="1:104" s="1" customFormat="1" ht="15" customHeight="1" x14ac:dyDescent="0.3">
      <c r="A14" s="6" t="s">
        <v>103</v>
      </c>
      <c r="B14"/>
      <c r="C14" s="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 s="14"/>
      <c r="X14"/>
      <c r="Y14" s="93"/>
      <c r="Z14" s="241" t="s">
        <v>103</v>
      </c>
      <c r="AA14" s="691"/>
      <c r="AB14" s="544"/>
      <c r="AC14" s="691"/>
      <c r="AD14" s="691"/>
      <c r="AE14" s="477"/>
      <c r="AF14" s="477"/>
      <c r="AG14" s="477"/>
      <c r="AH14" s="477"/>
      <c r="AI14" s="464"/>
      <c r="AJ14" s="464"/>
      <c r="AK14" s="464"/>
      <c r="AL14" s="464"/>
      <c r="AM14" s="771"/>
      <c r="AN14" s="544"/>
      <c r="AO14" s="452"/>
      <c r="AP14" s="551"/>
      <c r="AQ14" s="452"/>
      <c r="AR14" s="544"/>
      <c r="AS14" s="464"/>
      <c r="AT14" s="477"/>
      <c r="AU14" s="544"/>
      <c r="AV14" s="544"/>
      <c r="AW14" s="464"/>
      <c r="AX14" s="907"/>
      <c r="AY14" s="771"/>
      <c r="AZ14" s="477"/>
      <c r="BA14" s="464"/>
      <c r="BB14" s="544"/>
      <c r="BC14" s="544"/>
      <c r="BD14" s="544"/>
      <c r="BE14" s="564"/>
      <c r="BF14" s="544"/>
      <c r="BG14" s="564"/>
      <c r="BH14" s="471"/>
      <c r="BI14" s="464"/>
      <c r="BJ14" s="464"/>
      <c r="BK14" s="464"/>
      <c r="BL14" s="744"/>
      <c r="BM14" s="767"/>
      <c r="BN14" s="597"/>
      <c r="BO14" s="494"/>
      <c r="BP14" s="567"/>
      <c r="BQ14" s="488"/>
      <c r="BR14" s="489"/>
      <c r="BS14" s="489"/>
      <c r="BT14" s="344"/>
      <c r="BU14" s="265"/>
      <c r="BV14" s="341"/>
      <c r="BW14" s="344"/>
      <c r="BX14" s="579"/>
      <c r="BY14" s="265"/>
      <c r="BZ14" s="716"/>
      <c r="CA14" s="341"/>
      <c r="CB14" s="344"/>
      <c r="CC14" s="344"/>
      <c r="CD14" s="344"/>
      <c r="CE14" s="341"/>
      <c r="CF14" s="344"/>
      <c r="CG14" s="341"/>
      <c r="CH14" s="344"/>
      <c r="CI14" s="496"/>
      <c r="CJ14" s="494"/>
      <c r="CK14" s="468"/>
      <c r="CL14" s="341"/>
      <c r="CM14" s="266"/>
      <c r="CN14" s="341"/>
      <c r="CO14" s="494"/>
      <c r="CP14" s="598"/>
      <c r="CQ14" s="344"/>
      <c r="CR14" s="489"/>
      <c r="CS14" s="457"/>
      <c r="CT14" s="274"/>
      <c r="CU14" s="552" t="s">
        <v>103</v>
      </c>
      <c r="CV14" s="711"/>
      <c r="CW14" s="701"/>
      <c r="CX14" s="554"/>
      <c r="CY14" s="310"/>
      <c r="CZ14" s="704"/>
    </row>
    <row r="15" spans="1:104" s="2" customFormat="1" ht="15" customHeight="1" x14ac:dyDescent="0.3">
      <c r="A15" s="19" t="s">
        <v>13</v>
      </c>
      <c r="B15"/>
      <c r="C15" s="14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 s="14"/>
      <c r="X15"/>
      <c r="Y15" s="93"/>
      <c r="Z15" s="240" t="s">
        <v>13</v>
      </c>
      <c r="AA15" s="778"/>
      <c r="AB15" s="636"/>
      <c r="AC15" s="779"/>
      <c r="AD15" s="635"/>
      <c r="AE15" s="636"/>
      <c r="AF15" s="639"/>
      <c r="AG15" s="898"/>
      <c r="AH15" s="636"/>
      <c r="AI15" s="722"/>
      <c r="AJ15" s="724"/>
      <c r="AK15" s="780"/>
      <c r="AL15" s="780"/>
      <c r="AM15" s="724"/>
      <c r="AN15" s="530"/>
      <c r="AO15" s="724"/>
      <c r="AP15" s="724"/>
      <c r="AQ15" s="724"/>
      <c r="AR15" s="636"/>
      <c r="AS15" s="545"/>
      <c r="AT15" s="350"/>
      <c r="AU15" s="639"/>
      <c r="AV15" s="636"/>
      <c r="AW15" s="876"/>
      <c r="AX15" s="908"/>
      <c r="AY15" s="909"/>
      <c r="AZ15" s="636"/>
      <c r="BA15" s="639"/>
      <c r="BB15" s="724"/>
      <c r="BC15" s="780"/>
      <c r="BD15" s="725"/>
      <c r="BE15" s="636"/>
      <c r="BF15" s="693"/>
      <c r="BG15" s="636"/>
      <c r="BH15" s="639"/>
      <c r="BI15" s="724"/>
      <c r="BJ15" s="724"/>
      <c r="BK15" s="781"/>
      <c r="BL15" s="781"/>
      <c r="BM15" s="782"/>
      <c r="BN15" s="599"/>
      <c r="BO15" s="568"/>
      <c r="BP15" s="497"/>
      <c r="BQ15" s="569"/>
      <c r="BR15" s="491"/>
      <c r="BS15" s="286"/>
      <c r="BT15" s="497"/>
      <c r="BU15" s="265"/>
      <c r="BV15" s="445"/>
      <c r="BW15" s="352"/>
      <c r="BX15" s="447"/>
      <c r="BY15" s="286"/>
      <c r="BZ15" s="286"/>
      <c r="CA15" s="265"/>
      <c r="CB15" s="286"/>
      <c r="CC15" s="265"/>
      <c r="CD15" s="286"/>
      <c r="CE15" s="286"/>
      <c r="CF15" s="286"/>
      <c r="CG15" s="286"/>
      <c r="CH15" s="446"/>
      <c r="CI15" s="352"/>
      <c r="CJ15" s="568"/>
      <c r="CK15" s="352"/>
      <c r="CL15" s="579"/>
      <c r="CM15" s="286"/>
      <c r="CN15" s="445"/>
      <c r="CO15" s="352"/>
      <c r="CP15" s="569"/>
      <c r="CQ15" s="570"/>
      <c r="CR15" s="474"/>
      <c r="CS15" s="497"/>
      <c r="CT15" s="289"/>
      <c r="CU15" s="708" t="s">
        <v>13</v>
      </c>
      <c r="CV15" s="599"/>
      <c r="CW15" s="569"/>
      <c r="CX15" s="688"/>
      <c r="CY15" s="316"/>
      <c r="CZ15" s="273"/>
    </row>
    <row r="16" spans="1:104" s="66" customFormat="1" ht="30" customHeight="1" x14ac:dyDescent="0.3">
      <c r="A16" s="63" t="s">
        <v>14</v>
      </c>
      <c r="B16" s="64"/>
      <c r="C16" s="14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 s="14"/>
      <c r="X16"/>
      <c r="Y16" s="93"/>
      <c r="Z16" s="242" t="s">
        <v>14</v>
      </c>
      <c r="AA16" s="892">
        <v>31</v>
      </c>
      <c r="AB16" s="773">
        <v>20</v>
      </c>
      <c r="AC16" s="784">
        <v>25</v>
      </c>
      <c r="AD16" s="775">
        <v>42</v>
      </c>
      <c r="AE16" s="773">
        <v>35</v>
      </c>
      <c r="AF16" s="776">
        <v>25</v>
      </c>
      <c r="AG16" s="896">
        <v>47.346938775510203</v>
      </c>
      <c r="AH16" s="773">
        <v>24</v>
      </c>
      <c r="AI16" s="785">
        <v>31</v>
      </c>
      <c r="AJ16" s="860">
        <v>16.933608247422683</v>
      </c>
      <c r="AK16" s="861">
        <v>58.560687432867887</v>
      </c>
      <c r="AL16" s="764">
        <v>54.007246376811594</v>
      </c>
      <c r="AM16" s="763">
        <v>11.21374865735768</v>
      </c>
      <c r="AN16" s="763">
        <v>30</v>
      </c>
      <c r="AO16" s="870">
        <v>36</v>
      </c>
      <c r="AP16" s="765">
        <v>17</v>
      </c>
      <c r="AQ16" s="766">
        <v>20.253294289897511</v>
      </c>
      <c r="AR16" s="773">
        <v>26</v>
      </c>
      <c r="AS16" s="766">
        <v>20.486238532110093</v>
      </c>
      <c r="AT16" s="773">
        <v>35</v>
      </c>
      <c r="AU16" s="776">
        <v>29</v>
      </c>
      <c r="AV16" s="773">
        <v>43</v>
      </c>
      <c r="AW16" s="877">
        <v>43.743286788399601</v>
      </c>
      <c r="AX16" s="793">
        <v>16.65446559297218</v>
      </c>
      <c r="AY16" s="793">
        <v>16.084142394822006</v>
      </c>
      <c r="AZ16" s="773">
        <v>38.172371134020622</v>
      </c>
      <c r="BA16" s="786">
        <v>25</v>
      </c>
      <c r="BB16" s="764">
        <v>32.991215226939971</v>
      </c>
      <c r="BC16" s="764">
        <v>36.450309278350517</v>
      </c>
      <c r="BD16" s="766">
        <v>21.781844802342608</v>
      </c>
      <c r="BE16" s="773">
        <v>27</v>
      </c>
      <c r="BF16" s="786">
        <v>31</v>
      </c>
      <c r="BG16" s="773">
        <v>17</v>
      </c>
      <c r="BH16" s="776">
        <v>31</v>
      </c>
      <c r="BI16" s="774">
        <v>26.439425051334702</v>
      </c>
      <c r="BJ16" s="766">
        <v>28.127010309278351</v>
      </c>
      <c r="BK16" s="787">
        <v>10.216970998925886</v>
      </c>
      <c r="BL16" s="775">
        <v>31</v>
      </c>
      <c r="BM16" s="862">
        <v>26.691262135922329</v>
      </c>
      <c r="BN16" s="469">
        <v>19</v>
      </c>
      <c r="BO16" s="444">
        <v>54</v>
      </c>
      <c r="BP16" s="340">
        <v>27.322330097087399</v>
      </c>
      <c r="BQ16" s="476">
        <v>28</v>
      </c>
      <c r="BR16" s="448">
        <v>56.691729323308273</v>
      </c>
      <c r="BS16" s="264">
        <v>21</v>
      </c>
      <c r="BT16" s="340">
        <v>29</v>
      </c>
      <c r="BU16" s="882">
        <v>47.845327604726101</v>
      </c>
      <c r="BV16" s="386">
        <v>59.183673469387756</v>
      </c>
      <c r="BW16" s="340">
        <v>31.427628865979383</v>
      </c>
      <c r="BX16" s="473">
        <v>22.928257686676428</v>
      </c>
      <c r="BY16" s="267">
        <v>52.704618689581096</v>
      </c>
      <c r="BZ16" s="264">
        <v>37.885360824742271</v>
      </c>
      <c r="CA16" s="267">
        <v>39.61493411420205</v>
      </c>
      <c r="CB16" s="267">
        <v>17.34368932038835</v>
      </c>
      <c r="CC16" s="267">
        <v>10.466165413533835</v>
      </c>
      <c r="CD16" s="267">
        <v>28.831067961165047</v>
      </c>
      <c r="CE16" s="386">
        <v>50.524197412553903</v>
      </c>
      <c r="CF16" s="385">
        <v>45.602577873254567</v>
      </c>
      <c r="CG16" s="386">
        <v>37.024329896907219</v>
      </c>
      <c r="CH16" s="342">
        <v>36</v>
      </c>
      <c r="CI16" s="340">
        <v>24</v>
      </c>
      <c r="CJ16" s="444">
        <v>44</v>
      </c>
      <c r="CK16" s="340">
        <v>60</v>
      </c>
      <c r="CL16" s="473">
        <v>31.014853857211307</v>
      </c>
      <c r="CM16" s="386">
        <v>10.466165413533835</v>
      </c>
      <c r="CN16" s="264">
        <v>42</v>
      </c>
      <c r="CO16" s="340">
        <v>41</v>
      </c>
      <c r="CP16" s="444">
        <v>39</v>
      </c>
      <c r="CQ16" s="340">
        <v>33</v>
      </c>
      <c r="CR16" s="473">
        <v>12</v>
      </c>
      <c r="CS16" s="340">
        <v>16</v>
      </c>
      <c r="CT16" s="560">
        <v>23.821855670103094</v>
      </c>
      <c r="CU16" s="553" t="s">
        <v>14</v>
      </c>
      <c r="CV16" s="469">
        <v>29</v>
      </c>
      <c r="CW16" s="476">
        <v>44</v>
      </c>
      <c r="CX16" s="689"/>
      <c r="CY16" s="322"/>
      <c r="CZ16" s="276">
        <v>23</v>
      </c>
    </row>
    <row r="17" spans="1:104" s="66" customFormat="1" ht="14.25" customHeight="1" x14ac:dyDescent="0.3">
      <c r="A17" s="63" t="s">
        <v>104</v>
      </c>
      <c r="B17" s="64"/>
      <c r="C17" s="14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s="14"/>
      <c r="X17"/>
      <c r="Y17" s="93"/>
      <c r="Z17" s="242" t="s">
        <v>104</v>
      </c>
      <c r="AA17" s="895"/>
      <c r="AB17" s="702"/>
      <c r="AC17" s="691"/>
      <c r="AD17" s="477"/>
      <c r="AE17" s="637"/>
      <c r="AF17" s="702"/>
      <c r="AG17" s="897"/>
      <c r="AH17" s="637"/>
      <c r="AI17" s="477"/>
      <c r="AJ17" s="702"/>
      <c r="AK17" s="464"/>
      <c r="AL17" s="452"/>
      <c r="AM17" s="771"/>
      <c r="AN17" s="771"/>
      <c r="AO17" s="702"/>
      <c r="AP17" s="702"/>
      <c r="AQ17" s="702"/>
      <c r="AR17" s="544"/>
      <c r="AS17" s="702"/>
      <c r="AT17" s="477"/>
      <c r="AU17" s="544"/>
      <c r="AV17" s="544"/>
      <c r="AW17" s="464"/>
      <c r="AX17" s="907"/>
      <c r="AY17" s="907"/>
      <c r="AZ17" s="544"/>
      <c r="BA17" s="691"/>
      <c r="BB17" s="452"/>
      <c r="BC17" s="452"/>
      <c r="BD17" s="452"/>
      <c r="BE17" s="564"/>
      <c r="BF17" s="464"/>
      <c r="BG17" s="544"/>
      <c r="BH17" s="464"/>
      <c r="BI17" s="544"/>
      <c r="BJ17" s="691"/>
      <c r="BK17" s="544"/>
      <c r="BL17" s="464"/>
      <c r="BM17" s="767"/>
      <c r="BN17" s="600"/>
      <c r="BO17" s="471"/>
      <c r="BP17" s="470"/>
      <c r="BQ17" s="340"/>
      <c r="BR17" s="449"/>
      <c r="BS17" s="264"/>
      <c r="BT17" s="471"/>
      <c r="BU17" s="267"/>
      <c r="BV17" s="267"/>
      <c r="BW17" s="578"/>
      <c r="BX17" s="264"/>
      <c r="BY17" s="267"/>
      <c r="BZ17" s="340"/>
      <c r="CA17" s="340"/>
      <c r="CB17" s="340"/>
      <c r="CC17" s="453"/>
      <c r="CD17" s="453"/>
      <c r="CE17" s="453"/>
      <c r="CF17" s="453"/>
      <c r="CG17" s="264"/>
      <c r="CH17" s="340"/>
      <c r="CI17" s="561"/>
      <c r="CJ17" s="471"/>
      <c r="CK17" s="488"/>
      <c r="CL17" s="344"/>
      <c r="CM17" s="264"/>
      <c r="CN17" s="340"/>
      <c r="CO17" s="479"/>
      <c r="CP17" s="479"/>
      <c r="CQ17" s="486"/>
      <c r="CR17" s="486"/>
      <c r="CS17" s="486"/>
      <c r="CT17" s="533"/>
      <c r="CU17" s="553" t="s">
        <v>104</v>
      </c>
      <c r="CV17" s="711"/>
      <c r="CW17" s="580"/>
      <c r="CX17" s="574"/>
      <c r="CY17" s="320"/>
      <c r="CZ17" s="601"/>
    </row>
    <row r="18" spans="1:104" s="68" customFormat="1" ht="15" customHeight="1" x14ac:dyDescent="0.3">
      <c r="A18" s="67" t="s">
        <v>15</v>
      </c>
      <c r="B18" s="64"/>
      <c r="C18" s="14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 s="14"/>
      <c r="X18"/>
      <c r="Y18" s="93"/>
      <c r="Z18" s="243" t="s">
        <v>15</v>
      </c>
      <c r="AA18" s="779"/>
      <c r="AB18" s="636"/>
      <c r="AC18" s="778"/>
      <c r="AD18" s="636"/>
      <c r="AE18" s="639"/>
      <c r="AF18" s="638"/>
      <c r="AG18" s="789"/>
      <c r="AH18" s="635"/>
      <c r="AI18" s="636"/>
      <c r="AJ18" s="722"/>
      <c r="AK18" s="724"/>
      <c r="AL18" s="724"/>
      <c r="AM18" s="724"/>
      <c r="AN18" s="530"/>
      <c r="AO18" s="545"/>
      <c r="AP18" s="724"/>
      <c r="AQ18" s="724"/>
      <c r="AR18" s="636"/>
      <c r="AS18" s="545"/>
      <c r="AT18" s="350"/>
      <c r="AU18" s="639"/>
      <c r="AV18" s="636"/>
      <c r="AW18" s="876"/>
      <c r="AX18" s="908"/>
      <c r="AY18" s="909"/>
      <c r="AZ18" s="636"/>
      <c r="BA18" s="639"/>
      <c r="BB18" s="724"/>
      <c r="BC18" s="724"/>
      <c r="BD18" s="725"/>
      <c r="BE18" s="636"/>
      <c r="BF18" s="639"/>
      <c r="BG18" s="724"/>
      <c r="BH18" s="635"/>
      <c r="BI18" s="636"/>
      <c r="BJ18" s="722"/>
      <c r="BK18" s="781"/>
      <c r="BL18" s="636"/>
      <c r="BM18" s="782"/>
      <c r="BN18" s="599"/>
      <c r="BO18" s="569"/>
      <c r="BP18" s="446"/>
      <c r="BQ18" s="352"/>
      <c r="BR18" s="447"/>
      <c r="BS18" s="286"/>
      <c r="BT18" s="286"/>
      <c r="BU18" s="267"/>
      <c r="BV18" s="267"/>
      <c r="BW18" s="286"/>
      <c r="BX18" s="286"/>
      <c r="BY18" s="286"/>
      <c r="BZ18" s="286"/>
      <c r="CA18" s="286"/>
      <c r="CB18" s="267"/>
      <c r="CC18" s="286"/>
      <c r="CD18" s="286"/>
      <c r="CE18" s="286"/>
      <c r="CF18" s="286"/>
      <c r="CG18" s="286"/>
      <c r="CH18" s="446"/>
      <c r="CI18" s="352"/>
      <c r="CJ18" s="568"/>
      <c r="CK18" s="352"/>
      <c r="CL18" s="449"/>
      <c r="CM18" s="286"/>
      <c r="CN18" s="342"/>
      <c r="CO18" s="352"/>
      <c r="CP18" s="569"/>
      <c r="CQ18" s="568"/>
      <c r="CR18" s="352"/>
      <c r="CS18" s="565"/>
      <c r="CT18" s="289"/>
      <c r="CU18" s="706" t="s">
        <v>15</v>
      </c>
      <c r="CV18" s="599"/>
      <c r="CW18" s="569"/>
      <c r="CX18" s="688"/>
      <c r="CY18" s="316"/>
      <c r="CZ18" s="695"/>
    </row>
    <row r="19" spans="1:104" s="66" customFormat="1" ht="30" customHeight="1" thickBot="1" x14ac:dyDescent="0.35">
      <c r="A19" s="63" t="s">
        <v>16</v>
      </c>
      <c r="B19" s="64"/>
      <c r="C19" s="14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s="14"/>
      <c r="X19"/>
      <c r="Y19" s="93"/>
      <c r="Z19" s="242" t="s">
        <v>16</v>
      </c>
      <c r="AA19" s="783">
        <v>32</v>
      </c>
      <c r="AB19" s="790">
        <v>55</v>
      </c>
      <c r="AC19" s="867">
        <v>26</v>
      </c>
      <c r="AD19" s="773">
        <v>42</v>
      </c>
      <c r="AE19" s="869">
        <v>28</v>
      </c>
      <c r="AF19" s="776">
        <v>32</v>
      </c>
      <c r="AG19" s="791">
        <v>47.619047619047613</v>
      </c>
      <c r="AH19" s="775">
        <v>21</v>
      </c>
      <c r="AI19" s="773">
        <v>8</v>
      </c>
      <c r="AJ19" s="792">
        <v>17.030927835051546</v>
      </c>
      <c r="AK19" s="765">
        <v>58.89724310776942</v>
      </c>
      <c r="AL19" s="870">
        <v>54.317632850241544</v>
      </c>
      <c r="AM19" s="765">
        <v>11.278195488721805</v>
      </c>
      <c r="AN19" s="765">
        <v>30</v>
      </c>
      <c r="AO19" s="870">
        <v>37</v>
      </c>
      <c r="AP19" s="763">
        <v>15</v>
      </c>
      <c r="AQ19" s="764">
        <v>20.369692532942896</v>
      </c>
      <c r="AR19" s="773">
        <v>26</v>
      </c>
      <c r="AS19" s="764">
        <v>20.603975535168196</v>
      </c>
      <c r="AT19" s="773">
        <v>47</v>
      </c>
      <c r="AU19" s="776">
        <v>28</v>
      </c>
      <c r="AV19" s="773">
        <v>51</v>
      </c>
      <c r="AW19" s="877">
        <v>43.9774436090226</v>
      </c>
      <c r="AX19" s="793">
        <v>16.65446559297218</v>
      </c>
      <c r="AY19" s="793">
        <v>16.084142394822006</v>
      </c>
      <c r="AZ19" s="776">
        <v>24</v>
      </c>
      <c r="BA19" s="786">
        <v>24</v>
      </c>
      <c r="BB19" s="764">
        <v>33.180819912152266</v>
      </c>
      <c r="BC19" s="764">
        <v>36.659793814432987</v>
      </c>
      <c r="BD19" s="860">
        <v>21.907027818448022</v>
      </c>
      <c r="BE19" s="773">
        <v>28</v>
      </c>
      <c r="BF19" s="776">
        <v>33</v>
      </c>
      <c r="BG19" s="793">
        <v>31</v>
      </c>
      <c r="BH19" s="775">
        <v>31</v>
      </c>
      <c r="BI19" s="773">
        <v>26.591375770020534</v>
      </c>
      <c r="BJ19" s="774">
        <v>28.288659793814432</v>
      </c>
      <c r="BK19" s="787">
        <v>10.275689223057643</v>
      </c>
      <c r="BL19" s="775">
        <v>31</v>
      </c>
      <c r="BM19" s="862">
        <v>26.844660194174757</v>
      </c>
      <c r="BN19" s="469">
        <v>19</v>
      </c>
      <c r="BO19" s="476">
        <v>49</v>
      </c>
      <c r="BP19" s="342">
        <v>23</v>
      </c>
      <c r="BQ19" s="340">
        <v>27</v>
      </c>
      <c r="BR19" s="615">
        <v>57.017543859649116</v>
      </c>
      <c r="BS19" s="386">
        <v>13.195461200585651</v>
      </c>
      <c r="BT19" s="385">
        <v>55</v>
      </c>
      <c r="BU19" s="549">
        <v>48.120300751879697</v>
      </c>
      <c r="BV19" s="385">
        <v>59.523809523809518</v>
      </c>
      <c r="BW19" s="386">
        <v>31.60824742268041</v>
      </c>
      <c r="BX19" s="616">
        <v>23.060029282576863</v>
      </c>
      <c r="BY19" s="385">
        <v>53.007518796992478</v>
      </c>
      <c r="BZ19" s="616">
        <v>38.103092783505154</v>
      </c>
      <c r="CA19" s="549">
        <v>39.842606149341137</v>
      </c>
      <c r="CB19" s="385">
        <v>17.443365695792881</v>
      </c>
      <c r="CC19" s="385">
        <v>10.526315789473683</v>
      </c>
      <c r="CD19" s="884">
        <v>28.996763754045308</v>
      </c>
      <c r="CE19" s="886">
        <v>50.814566363200768</v>
      </c>
      <c r="CF19" s="267">
        <v>45.864661654135332</v>
      </c>
      <c r="CG19" s="886">
        <v>37.237113402061851</v>
      </c>
      <c r="CH19" s="342">
        <v>37</v>
      </c>
      <c r="CI19" s="340">
        <v>36</v>
      </c>
      <c r="CJ19" s="444">
        <v>54.4110275689223</v>
      </c>
      <c r="CK19" s="340">
        <v>43</v>
      </c>
      <c r="CL19" s="882">
        <v>31.193100143746999</v>
      </c>
      <c r="CM19" s="385">
        <v>10.526315789473683</v>
      </c>
      <c r="CN19" s="342">
        <v>34</v>
      </c>
      <c r="CO19" s="561">
        <v>40</v>
      </c>
      <c r="CP19" s="444">
        <v>42</v>
      </c>
      <c r="CQ19" s="340">
        <v>33</v>
      </c>
      <c r="CR19" s="444">
        <v>19</v>
      </c>
      <c r="CS19" s="340">
        <v>15</v>
      </c>
      <c r="CT19" s="560">
        <v>23.958762886597935</v>
      </c>
      <c r="CU19" s="553" t="s">
        <v>16</v>
      </c>
      <c r="CV19" s="469">
        <v>22</v>
      </c>
      <c r="CW19" s="476">
        <v>35</v>
      </c>
      <c r="CX19" s="689"/>
      <c r="CY19" s="322"/>
      <c r="CZ19" s="533">
        <v>19</v>
      </c>
    </row>
    <row r="20" spans="1:104" s="66" customFormat="1" ht="15" customHeight="1" thickBot="1" x14ac:dyDescent="0.35">
      <c r="A20" s="63" t="s">
        <v>105</v>
      </c>
      <c r="B20" s="64"/>
      <c r="C20" s="14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 s="14"/>
      <c r="X20"/>
      <c r="Y20" s="93"/>
      <c r="Z20" s="242" t="s">
        <v>105</v>
      </c>
      <c r="AA20" s="771"/>
      <c r="AB20" s="544"/>
      <c r="AC20" s="702"/>
      <c r="AD20" s="564"/>
      <c r="AE20" s="702"/>
      <c r="AF20" s="464"/>
      <c r="AG20" s="903"/>
      <c r="AH20" s="564"/>
      <c r="AI20" s="564"/>
      <c r="AJ20" s="544"/>
      <c r="AK20" s="544"/>
      <c r="AL20" s="544"/>
      <c r="AM20" s="464"/>
      <c r="AN20" s="544"/>
      <c r="AO20" s="544"/>
      <c r="AP20" s="464"/>
      <c r="AQ20" s="464"/>
      <c r="AR20" s="544"/>
      <c r="AS20" s="452"/>
      <c r="AT20" s="464"/>
      <c r="AU20" s="544"/>
      <c r="AV20" s="544"/>
      <c r="AW20" s="477"/>
      <c r="AX20" s="907"/>
      <c r="AY20" s="771"/>
      <c r="AZ20" s="464"/>
      <c r="BA20" s="464"/>
      <c r="BB20" s="452"/>
      <c r="BC20" s="452"/>
      <c r="BD20" s="464"/>
      <c r="BE20" s="544"/>
      <c r="BF20" s="544"/>
      <c r="BG20" s="544"/>
      <c r="BH20" s="464"/>
      <c r="BI20" s="544"/>
      <c r="BJ20" s="637"/>
      <c r="BK20" s="544"/>
      <c r="BL20" s="464"/>
      <c r="BM20" s="767"/>
      <c r="BN20" s="600"/>
      <c r="BO20" s="340"/>
      <c r="BP20" s="561"/>
      <c r="BQ20" s="470"/>
      <c r="BR20" s="470"/>
      <c r="BS20" s="449"/>
      <c r="BT20" s="264"/>
      <c r="BU20" s="340"/>
      <c r="BV20" s="478"/>
      <c r="BW20" s="264"/>
      <c r="BX20" s="340"/>
      <c r="BY20" s="449"/>
      <c r="BZ20" s="345"/>
      <c r="CA20" s="453"/>
      <c r="CB20" s="546"/>
      <c r="CC20" s="264"/>
      <c r="CD20" s="453"/>
      <c r="CE20" s="546"/>
      <c r="CF20" s="546"/>
      <c r="CG20" s="546"/>
      <c r="CH20" s="340"/>
      <c r="CI20" s="479"/>
      <c r="CJ20" s="684"/>
      <c r="CK20" s="684"/>
      <c r="CL20" s="457"/>
      <c r="CM20" s="264"/>
      <c r="CN20" s="346"/>
      <c r="CO20" s="458"/>
      <c r="CP20" s="580"/>
      <c r="CQ20" s="479"/>
      <c r="CR20" s="455"/>
      <c r="CS20" s="486"/>
      <c r="CT20" s="533"/>
      <c r="CU20" s="553" t="s">
        <v>105</v>
      </c>
      <c r="CV20" s="469"/>
      <c r="CW20" s="580"/>
      <c r="CX20" s="323"/>
      <c r="CY20" s="320"/>
      <c r="CZ20" s="461"/>
    </row>
    <row r="21" spans="1:104" s="68" customFormat="1" ht="15" customHeight="1" thickBot="1" x14ac:dyDescent="0.35">
      <c r="A21" s="67" t="s">
        <v>17</v>
      </c>
      <c r="B21" s="64"/>
      <c r="C21" s="14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 s="14"/>
      <c r="X21"/>
      <c r="Y21" s="93"/>
      <c r="Z21" s="243" t="s">
        <v>17</v>
      </c>
      <c r="AA21" s="722"/>
      <c r="AB21" s="780"/>
      <c r="AC21" s="725"/>
      <c r="AD21" s="636"/>
      <c r="AE21" s="722"/>
      <c r="AF21" s="636"/>
      <c r="AG21" s="727"/>
      <c r="AH21" s="635"/>
      <c r="AI21" s="636"/>
      <c r="AJ21" s="722"/>
      <c r="AK21" s="724"/>
      <c r="AL21" s="545"/>
      <c r="AM21" s="768"/>
      <c r="AN21" s="530"/>
      <c r="AO21" s="724"/>
      <c r="AP21" s="724"/>
      <c r="AQ21" s="724"/>
      <c r="AR21" s="636"/>
      <c r="AS21" s="724"/>
      <c r="AT21" s="545"/>
      <c r="AU21" s="636"/>
      <c r="AV21" s="635"/>
      <c r="AW21" s="350"/>
      <c r="AX21" s="722"/>
      <c r="AY21" s="530"/>
      <c r="AZ21" s="636"/>
      <c r="BA21" s="636"/>
      <c r="BB21" s="724"/>
      <c r="BC21" s="724"/>
      <c r="BD21" s="724"/>
      <c r="BE21" s="636"/>
      <c r="BF21" s="636"/>
      <c r="BG21" s="781"/>
      <c r="BH21" s="635"/>
      <c r="BI21" s="636"/>
      <c r="BJ21" s="639"/>
      <c r="BK21" s="722"/>
      <c r="BL21" s="636"/>
      <c r="BM21" s="782"/>
      <c r="BN21" s="599"/>
      <c r="BO21" s="571"/>
      <c r="BP21" s="352"/>
      <c r="BQ21" s="447"/>
      <c r="BR21" s="550"/>
      <c r="BS21" s="286"/>
      <c r="BT21" s="286"/>
      <c r="BU21" s="550"/>
      <c r="BV21" s="286"/>
      <c r="BW21" s="286"/>
      <c r="BX21" s="550"/>
      <c r="BY21" s="286"/>
      <c r="BZ21" s="718"/>
      <c r="CA21" s="352"/>
      <c r="CB21" s="447"/>
      <c r="CC21" s="286"/>
      <c r="CD21" s="550"/>
      <c r="CE21" s="286"/>
      <c r="CF21" s="286"/>
      <c r="CG21" s="286"/>
      <c r="CH21" s="446"/>
      <c r="CI21" s="446"/>
      <c r="CJ21" s="446"/>
      <c r="CK21" s="352"/>
      <c r="CL21" s="449"/>
      <c r="CM21" s="445"/>
      <c r="CN21" s="352"/>
      <c r="CO21" s="569"/>
      <c r="CP21" s="571"/>
      <c r="CQ21" s="352"/>
      <c r="CR21" s="449"/>
      <c r="CS21" s="352"/>
      <c r="CT21" s="577"/>
      <c r="CU21" s="706" t="s">
        <v>17</v>
      </c>
      <c r="CV21" s="599"/>
      <c r="CW21" s="569"/>
      <c r="CX21" s="688"/>
      <c r="CY21" s="316"/>
      <c r="CZ21" s="695"/>
    </row>
    <row r="22" spans="1:104" s="68" customFormat="1" ht="30" customHeight="1" thickBot="1" x14ac:dyDescent="0.35">
      <c r="A22" s="101" t="s">
        <v>18</v>
      </c>
      <c r="B22" s="64"/>
      <c r="C22" s="14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 s="14"/>
      <c r="X22"/>
      <c r="Y22" s="93"/>
      <c r="Z22" s="244" t="s">
        <v>18</v>
      </c>
      <c r="AA22" s="891">
        <v>21</v>
      </c>
      <c r="AB22" s="770">
        <v>36</v>
      </c>
      <c r="AC22" s="761">
        <v>24</v>
      </c>
      <c r="AD22" s="773">
        <v>27</v>
      </c>
      <c r="AE22" s="791">
        <v>28.408163265306126</v>
      </c>
      <c r="AF22" s="773">
        <v>19.134020618556701</v>
      </c>
      <c r="AG22" s="733">
        <v>31.564625850340139</v>
      </c>
      <c r="AH22" s="775">
        <v>32</v>
      </c>
      <c r="AI22" s="773">
        <v>14</v>
      </c>
      <c r="AJ22" s="774">
        <v>16</v>
      </c>
      <c r="AK22" s="763">
        <v>39.040458288578591</v>
      </c>
      <c r="AL22" s="764">
        <v>36.004830917874401</v>
      </c>
      <c r="AM22" s="763">
        <v>7.475832438238454</v>
      </c>
      <c r="AN22" s="763">
        <v>20</v>
      </c>
      <c r="AO22" s="766">
        <v>27</v>
      </c>
      <c r="AP22" s="765">
        <v>13</v>
      </c>
      <c r="AQ22" s="766">
        <v>13.502196193265007</v>
      </c>
      <c r="AR22" s="773">
        <v>40</v>
      </c>
      <c r="AS22" s="864">
        <v>13.657492354740061</v>
      </c>
      <c r="AT22" s="766">
        <v>35</v>
      </c>
      <c r="AU22" s="775">
        <v>26</v>
      </c>
      <c r="AV22" s="773">
        <v>39</v>
      </c>
      <c r="AW22" s="776">
        <v>21.162191192266398</v>
      </c>
      <c r="AX22" s="864">
        <v>11.039531478770131</v>
      </c>
      <c r="AY22" s="860">
        <v>10.661488673139157</v>
      </c>
      <c r="AZ22" s="773">
        <v>54</v>
      </c>
      <c r="BA22" s="786">
        <v>24</v>
      </c>
      <c r="BB22" s="764">
        <v>21.994143484626647</v>
      </c>
      <c r="BC22" s="764">
        <v>24.30020618556701</v>
      </c>
      <c r="BD22" s="860">
        <v>14.521229868228405</v>
      </c>
      <c r="BE22" s="773">
        <v>17</v>
      </c>
      <c r="BF22" s="776">
        <v>34</v>
      </c>
      <c r="BG22" s="793">
        <v>30</v>
      </c>
      <c r="BH22" s="775">
        <v>22</v>
      </c>
      <c r="BI22" s="861">
        <v>17.626283367556468</v>
      </c>
      <c r="BJ22" s="776">
        <v>14</v>
      </c>
      <c r="BK22" s="864">
        <v>6.8113139992839242</v>
      </c>
      <c r="BL22" s="773">
        <v>41</v>
      </c>
      <c r="BM22" s="863">
        <v>17.794174757281553</v>
      </c>
      <c r="BN22" s="469">
        <v>13</v>
      </c>
      <c r="BO22" s="444">
        <v>20</v>
      </c>
      <c r="BP22" s="340">
        <v>24</v>
      </c>
      <c r="BQ22" s="449">
        <v>28</v>
      </c>
      <c r="BR22" s="264">
        <v>37.794486215538846</v>
      </c>
      <c r="BS22" s="264">
        <v>14</v>
      </c>
      <c r="BT22" s="267">
        <v>55</v>
      </c>
      <c r="BU22" s="267">
        <v>31.896885069817401</v>
      </c>
      <c r="BV22" s="267">
        <v>39.455782312925173</v>
      </c>
      <c r="BW22" s="264">
        <v>20.951752577319589</v>
      </c>
      <c r="BX22" s="386">
        <v>15.285505124450951</v>
      </c>
      <c r="BY22" s="385">
        <v>35.136412459720731</v>
      </c>
      <c r="BZ22" s="883">
        <v>25.256907216494845</v>
      </c>
      <c r="CA22" s="340">
        <v>26.409956076134701</v>
      </c>
      <c r="CB22" s="478">
        <v>11.562459546925567</v>
      </c>
      <c r="CC22" s="267">
        <v>6.9774436090225569</v>
      </c>
      <c r="CD22" s="272">
        <v>19.220711974110031</v>
      </c>
      <c r="CE22" s="264">
        <v>33.682798275035935</v>
      </c>
      <c r="CF22" s="267">
        <v>40</v>
      </c>
      <c r="CG22" s="264">
        <v>24.682886597938147</v>
      </c>
      <c r="CH22" s="342">
        <v>35</v>
      </c>
      <c r="CI22" s="342">
        <v>34</v>
      </c>
      <c r="CJ22" s="342">
        <v>52.695309702828503</v>
      </c>
      <c r="CK22" s="340">
        <v>32</v>
      </c>
      <c r="CL22" s="562">
        <v>20.676569238140871</v>
      </c>
      <c r="CM22" s="269">
        <v>6.9774436090225569</v>
      </c>
      <c r="CN22" s="340">
        <v>21</v>
      </c>
      <c r="CO22" s="476">
        <v>38</v>
      </c>
      <c r="CP22" s="444">
        <v>36</v>
      </c>
      <c r="CQ22" s="340">
        <v>23</v>
      </c>
      <c r="CR22" s="449">
        <v>13.302752293577981</v>
      </c>
      <c r="CS22" s="340">
        <v>13</v>
      </c>
      <c r="CT22" s="559">
        <v>15.881237113402063</v>
      </c>
      <c r="CU22" s="709" t="s">
        <v>18</v>
      </c>
      <c r="CV22" s="469">
        <v>19</v>
      </c>
      <c r="CW22" s="476">
        <v>27</v>
      </c>
      <c r="CX22" s="689"/>
      <c r="CY22" s="322"/>
      <c r="CZ22" s="694">
        <v>14</v>
      </c>
    </row>
    <row r="23" spans="1:104" s="68" customFormat="1" ht="15" customHeight="1" thickBot="1" x14ac:dyDescent="0.35">
      <c r="A23" s="63" t="s">
        <v>106</v>
      </c>
      <c r="B23" s="64"/>
      <c r="C23" s="14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 s="14"/>
      <c r="X23"/>
      <c r="Y23" s="93"/>
      <c r="Z23" s="242" t="s">
        <v>106</v>
      </c>
      <c r="AA23" s="895"/>
      <c r="AB23" s="691"/>
      <c r="AC23" s="794"/>
      <c r="AD23" s="551"/>
      <c r="AE23" s="769"/>
      <c r="AF23" s="464"/>
      <c r="AG23" s="452"/>
      <c r="AH23" s="817"/>
      <c r="AI23" s="817"/>
      <c r="AJ23" s="818"/>
      <c r="AK23" s="771"/>
      <c r="AL23" s="452"/>
      <c r="AM23" s="544"/>
      <c r="AN23" s="551"/>
      <c r="AO23" s="544"/>
      <c r="AP23" s="547"/>
      <c r="AQ23" s="464"/>
      <c r="AR23" s="547"/>
      <c r="AS23" s="452"/>
      <c r="AT23" s="452"/>
      <c r="AU23" s="547"/>
      <c r="AV23" s="551"/>
      <c r="AW23" s="452"/>
      <c r="AX23" s="452"/>
      <c r="AY23" s="551"/>
      <c r="AZ23" s="452"/>
      <c r="BA23" s="452"/>
      <c r="BB23" s="452"/>
      <c r="BC23" s="452"/>
      <c r="BD23" s="452"/>
      <c r="BE23" s="547"/>
      <c r="BF23" s="452"/>
      <c r="BG23" s="551"/>
      <c r="BH23" s="464"/>
      <c r="BI23" s="544"/>
      <c r="BJ23" s="702"/>
      <c r="BK23" s="544"/>
      <c r="BL23" s="464"/>
      <c r="BM23" s="767"/>
      <c r="BN23" s="602"/>
      <c r="BO23" s="162"/>
      <c r="BP23" s="471"/>
      <c r="BQ23" s="471"/>
      <c r="BR23" s="264"/>
      <c r="BS23" s="162"/>
      <c r="BT23" s="162"/>
      <c r="BU23" s="340"/>
      <c r="BV23" s="267"/>
      <c r="BW23" s="264"/>
      <c r="BX23" s="264"/>
      <c r="BY23" s="267"/>
      <c r="BZ23" s="457"/>
      <c r="CA23" s="471"/>
      <c r="CB23" s="456"/>
      <c r="CC23" s="457"/>
      <c r="CD23" s="457"/>
      <c r="CE23" s="456"/>
      <c r="CF23" s="267"/>
      <c r="CG23" s="546"/>
      <c r="CH23" s="162"/>
      <c r="CI23" s="486"/>
      <c r="CJ23" s="470"/>
      <c r="CK23" s="470"/>
      <c r="CL23" s="340"/>
      <c r="CM23" s="340"/>
      <c r="CN23" s="620"/>
      <c r="CO23" s="471"/>
      <c r="CP23" s="471"/>
      <c r="CQ23" s="471"/>
      <c r="CR23" s="456"/>
      <c r="CS23" s="471"/>
      <c r="CT23" s="340"/>
      <c r="CU23" s="710" t="s">
        <v>106</v>
      </c>
      <c r="CV23" s="600"/>
      <c r="CW23" s="471"/>
      <c r="CX23" s="323"/>
      <c r="CY23" s="323"/>
      <c r="CZ23" s="461"/>
    </row>
    <row r="24" spans="1:104" s="68" customFormat="1" ht="15" customHeight="1" thickBot="1" x14ac:dyDescent="0.35">
      <c r="A24" s="67" t="s">
        <v>114</v>
      </c>
      <c r="B24" s="64"/>
      <c r="C24" s="951"/>
      <c r="D24" s="678"/>
      <c r="E24" s="735">
        <v>3</v>
      </c>
      <c r="F24" s="823">
        <v>5</v>
      </c>
      <c r="G24" s="720"/>
      <c r="H24" s="703">
        <v>86</v>
      </c>
      <c r="I24" s="717"/>
      <c r="J24" s="334"/>
      <c r="K24" s="735">
        <v>15</v>
      </c>
      <c r="L24" s="823">
        <v>7</v>
      </c>
      <c r="M24" s="334"/>
      <c r="N24" s="720"/>
      <c r="O24" s="720"/>
      <c r="P24" s="334"/>
      <c r="Q24" s="334"/>
      <c r="R24" s="631"/>
      <c r="S24" s="953"/>
      <c r="T24" s="823">
        <v>98</v>
      </c>
      <c r="U24" s="735">
        <v>6</v>
      </c>
      <c r="V24" s="720"/>
      <c r="W24" s="836">
        <v>4</v>
      </c>
      <c r="X24" s="931"/>
      <c r="Y24" s="840">
        <v>4</v>
      </c>
      <c r="Z24" s="243" t="s">
        <v>114</v>
      </c>
      <c r="AA24" s="894"/>
      <c r="AB24" s="780"/>
      <c r="AC24" s="795"/>
      <c r="AD24" s="780"/>
      <c r="AE24" s="722"/>
      <c r="AF24" s="724"/>
      <c r="AG24" s="724"/>
      <c r="AH24" s="795"/>
      <c r="AI24" s="795"/>
      <c r="AJ24" s="639"/>
      <c r="AK24" s="722"/>
      <c r="AL24" s="545"/>
      <c r="AM24" s="724"/>
      <c r="AN24" s="724"/>
      <c r="AO24" s="545"/>
      <c r="AP24" s="795"/>
      <c r="AQ24" s="463"/>
      <c r="AR24" s="795"/>
      <c r="AS24" s="545"/>
      <c r="AT24" s="545"/>
      <c r="AU24" s="795"/>
      <c r="AV24" s="724"/>
      <c r="AW24" s="545"/>
      <c r="AX24" s="545"/>
      <c r="AY24" s="724"/>
      <c r="AZ24" s="724"/>
      <c r="BA24" s="724"/>
      <c r="BB24" s="724"/>
      <c r="BC24" s="724"/>
      <c r="BD24" s="724"/>
      <c r="BE24" s="795"/>
      <c r="BF24" s="724"/>
      <c r="BG24" s="724"/>
      <c r="BH24" s="724"/>
      <c r="BI24" s="634"/>
      <c r="BJ24" s="724"/>
      <c r="BK24" s="724"/>
      <c r="BL24" s="636"/>
      <c r="BM24" s="796"/>
      <c r="BN24" s="603"/>
      <c r="BO24" s="218"/>
      <c r="BP24" s="352"/>
      <c r="BQ24" s="286"/>
      <c r="BR24" s="264"/>
      <c r="BS24" s="218"/>
      <c r="BT24" s="218"/>
      <c r="BU24" s="267"/>
      <c r="BV24" s="267"/>
      <c r="BW24" s="286"/>
      <c r="BX24" s="286"/>
      <c r="BY24" s="267"/>
      <c r="BZ24" s="445"/>
      <c r="CA24" s="352"/>
      <c r="CB24" s="447"/>
      <c r="CC24" s="899"/>
      <c r="CD24" s="550"/>
      <c r="CE24" s="286"/>
      <c r="CF24" s="286"/>
      <c r="CG24" s="286"/>
      <c r="CH24" s="686"/>
      <c r="CI24" s="352"/>
      <c r="CJ24" s="491"/>
      <c r="CK24" s="734"/>
      <c r="CL24" s="734"/>
      <c r="CM24" s="550"/>
      <c r="CN24" s="218"/>
      <c r="CO24" s="286"/>
      <c r="CP24" s="286"/>
      <c r="CQ24" s="286"/>
      <c r="CR24" s="264"/>
      <c r="CS24" s="550"/>
      <c r="CT24" s="573"/>
      <c r="CU24" s="706" t="s">
        <v>114</v>
      </c>
      <c r="CV24" s="599"/>
      <c r="CW24" s="707">
        <v>16</v>
      </c>
      <c r="CX24" s="316"/>
      <c r="CY24" s="316"/>
      <c r="CZ24" s="548"/>
    </row>
    <row r="25" spans="1:104" s="68" customFormat="1" ht="30" customHeight="1" thickBot="1" x14ac:dyDescent="0.35">
      <c r="A25" s="63" t="s">
        <v>19</v>
      </c>
      <c r="B25" s="64"/>
      <c r="C25" s="951"/>
      <c r="D25" s="826"/>
      <c r="E25" s="826"/>
      <c r="F25" s="827"/>
      <c r="G25" s="828">
        <v>14.9</v>
      </c>
      <c r="H25" s="829">
        <v>52</v>
      </c>
      <c r="I25" s="830">
        <v>49</v>
      </c>
      <c r="J25" s="831">
        <v>37</v>
      </c>
      <c r="K25" s="826"/>
      <c r="L25" s="827"/>
      <c r="M25" s="832">
        <v>36</v>
      </c>
      <c r="N25" s="829">
        <v>75</v>
      </c>
      <c r="O25" s="833">
        <v>95</v>
      </c>
      <c r="P25" s="834">
        <v>26</v>
      </c>
      <c r="Q25" s="835">
        <v>46</v>
      </c>
      <c r="R25" s="835">
        <v>62</v>
      </c>
      <c r="S25" s="953"/>
      <c r="T25" s="827"/>
      <c r="U25" s="826"/>
      <c r="V25" s="838">
        <v>13</v>
      </c>
      <c r="W25" s="839">
        <v>11</v>
      </c>
      <c r="X25" s="931"/>
      <c r="Y25" s="842">
        <v>16</v>
      </c>
      <c r="Z25" s="242" t="s">
        <v>19</v>
      </c>
      <c r="AA25" s="891">
        <v>40</v>
      </c>
      <c r="AB25" s="770">
        <v>68</v>
      </c>
      <c r="AC25" s="798"/>
      <c r="AD25" s="765">
        <v>67.437164339419979</v>
      </c>
      <c r="AE25" s="785">
        <v>53.387755102040821</v>
      </c>
      <c r="AF25" s="766">
        <v>35.958762886597938</v>
      </c>
      <c r="AG25" s="870">
        <v>59.319727891156468</v>
      </c>
      <c r="AH25" s="799"/>
      <c r="AI25" s="799"/>
      <c r="AJ25" s="786">
        <v>16</v>
      </c>
      <c r="AK25" s="773">
        <v>73.369137128535627</v>
      </c>
      <c r="AL25" s="791">
        <v>33.832125603864732</v>
      </c>
      <c r="AM25" s="763">
        <v>14.049409237379162</v>
      </c>
      <c r="AN25" s="763">
        <v>37</v>
      </c>
      <c r="AO25" s="860">
        <v>43</v>
      </c>
      <c r="AP25" s="799"/>
      <c r="AQ25" s="775">
        <v>22</v>
      </c>
      <c r="AR25" s="799"/>
      <c r="AS25" s="874">
        <v>12.833333333333332</v>
      </c>
      <c r="AT25" s="766">
        <v>37</v>
      </c>
      <c r="AU25" s="799"/>
      <c r="AV25" s="800">
        <v>74</v>
      </c>
      <c r="AW25" s="764">
        <v>51.046186895810962</v>
      </c>
      <c r="AX25" s="764">
        <v>20.746705710102489</v>
      </c>
      <c r="AY25" s="763">
        <v>20.036245954692554</v>
      </c>
      <c r="AZ25" s="764">
        <v>40</v>
      </c>
      <c r="BA25" s="764">
        <v>54.324382384532761</v>
      </c>
      <c r="BB25" s="860">
        <v>41.333821376281115</v>
      </c>
      <c r="BC25" s="860">
        <v>45.667628865979381</v>
      </c>
      <c r="BD25" s="766">
        <v>27.289897510980968</v>
      </c>
      <c r="BE25" s="799"/>
      <c r="BF25" s="766">
        <v>63.846759756534198</v>
      </c>
      <c r="BG25" s="765">
        <v>38</v>
      </c>
      <c r="BH25" s="765">
        <v>51.20229144289295</v>
      </c>
      <c r="BI25" s="766">
        <v>28</v>
      </c>
      <c r="BJ25" s="766">
        <v>35.239587628865984</v>
      </c>
      <c r="BK25" s="765">
        <v>12.800572860723237</v>
      </c>
      <c r="BL25" s="764">
        <v>22</v>
      </c>
      <c r="BM25" s="788">
        <v>33.440776699029122</v>
      </c>
      <c r="BN25" s="469">
        <v>19</v>
      </c>
      <c r="BO25" s="572"/>
      <c r="BP25" s="340">
        <v>25</v>
      </c>
      <c r="BQ25" s="616">
        <v>33</v>
      </c>
      <c r="BR25" s="386">
        <v>71.027568922305775</v>
      </c>
      <c r="BS25" s="162"/>
      <c r="BT25" s="162"/>
      <c r="BU25" s="385">
        <v>59.944146079484426</v>
      </c>
      <c r="BV25" s="267">
        <v>74.149659863945587</v>
      </c>
      <c r="BW25" s="386">
        <v>36</v>
      </c>
      <c r="BX25" s="616">
        <v>28.726207906295755</v>
      </c>
      <c r="BY25" s="267">
        <v>66.032223415682068</v>
      </c>
      <c r="BZ25" s="883">
        <v>47.465567010309279</v>
      </c>
      <c r="CA25" s="340">
        <v>49.632503660322108</v>
      </c>
      <c r="CB25" s="478">
        <v>21.729449838187701</v>
      </c>
      <c r="CC25" s="733">
        <v>13.112781954887218</v>
      </c>
      <c r="CD25" s="885">
        <v>36.121682847896437</v>
      </c>
      <c r="CE25" s="384">
        <v>50</v>
      </c>
      <c r="CF25" s="385">
        <v>57.134264232008597</v>
      </c>
      <c r="CG25" s="386">
        <v>46.386804123711343</v>
      </c>
      <c r="CH25" s="687"/>
      <c r="CI25" s="340">
        <v>17</v>
      </c>
      <c r="CJ25" s="617">
        <v>80.237737200143215</v>
      </c>
      <c r="CK25" s="732">
        <v>74.617973505191557</v>
      </c>
      <c r="CL25" s="732">
        <v>31</v>
      </c>
      <c r="CM25" s="886">
        <v>13.112781954887218</v>
      </c>
      <c r="CN25" s="162"/>
      <c r="CO25" s="385">
        <v>69.310418904403875</v>
      </c>
      <c r="CP25" s="385">
        <v>72.900823487289657</v>
      </c>
      <c r="CQ25" s="385">
        <v>52.32</v>
      </c>
      <c r="CR25" s="386">
        <v>12.5</v>
      </c>
      <c r="CS25" s="616">
        <v>30.800878477306004</v>
      </c>
      <c r="CT25" s="387">
        <v>29.845773195876291</v>
      </c>
      <c r="CU25" s="553" t="s">
        <v>19</v>
      </c>
      <c r="CV25" s="469">
        <v>32</v>
      </c>
      <c r="CW25" s="692">
        <v>35</v>
      </c>
      <c r="CX25" s="321"/>
      <c r="CY25" s="322"/>
      <c r="CZ25" s="387">
        <v>26</v>
      </c>
    </row>
    <row r="26" spans="1:104" s="68" customFormat="1" ht="15" customHeight="1" thickBot="1" x14ac:dyDescent="0.35">
      <c r="A26" s="63" t="s">
        <v>113</v>
      </c>
      <c r="B26" s="64"/>
      <c r="C26" s="952"/>
      <c r="D26" s="690"/>
      <c r="E26" s="690"/>
      <c r="F26" s="824"/>
      <c r="G26" s="619"/>
      <c r="H26" s="575"/>
      <c r="I26" s="714"/>
      <c r="J26" s="825"/>
      <c r="K26" s="690"/>
      <c r="L26" s="575"/>
      <c r="M26" s="825"/>
      <c r="N26" s="575"/>
      <c r="O26" s="824"/>
      <c r="P26" s="825"/>
      <c r="Q26" s="619"/>
      <c r="R26" s="619"/>
      <c r="S26" s="954"/>
      <c r="T26" s="824"/>
      <c r="U26" s="690"/>
      <c r="V26" s="837"/>
      <c r="W26" s="736"/>
      <c r="X26" s="954"/>
      <c r="Y26" s="841"/>
      <c r="Z26" s="242" t="s">
        <v>113</v>
      </c>
      <c r="AA26" s="895"/>
      <c r="AB26" s="744"/>
      <c r="AC26" s="547"/>
      <c r="AD26" s="544"/>
      <c r="AE26" s="744"/>
      <c r="AF26" s="904"/>
      <c r="AG26" s="744"/>
      <c r="AH26" s="547"/>
      <c r="AI26" s="547"/>
      <c r="AJ26" s="818"/>
      <c r="AK26" s="723"/>
      <c r="AL26" s="648"/>
      <c r="AM26" s="544"/>
      <c r="AN26" s="769"/>
      <c r="AO26" s="691"/>
      <c r="AP26" s="547"/>
      <c r="AQ26" s="464" t="s">
        <v>250</v>
      </c>
      <c r="AR26" s="547"/>
      <c r="AS26" s="649"/>
      <c r="AT26" s="452"/>
      <c r="AU26" s="547"/>
      <c r="AV26" s="551"/>
      <c r="AW26" s="452"/>
      <c r="AX26" s="452"/>
      <c r="AY26" s="551"/>
      <c r="AZ26" s="452"/>
      <c r="BA26" s="452"/>
      <c r="BB26" s="452"/>
      <c r="BC26" s="452"/>
      <c r="BD26" s="544"/>
      <c r="BE26" s="797"/>
      <c r="BF26" s="452"/>
      <c r="BG26" s="544"/>
      <c r="BH26" s="544"/>
      <c r="BI26" s="464"/>
      <c r="BJ26" s="544"/>
      <c r="BK26" s="744"/>
      <c r="BL26" s="464"/>
      <c r="BM26" s="767"/>
      <c r="BN26" s="467"/>
      <c r="BO26" s="572"/>
      <c r="BP26" s="342"/>
      <c r="BQ26" s="342"/>
      <c r="BR26" s="546"/>
      <c r="BS26" s="162"/>
      <c r="BT26" s="162"/>
      <c r="BU26" s="267"/>
      <c r="BV26" s="267"/>
      <c r="BW26" s="264"/>
      <c r="BX26" s="342"/>
      <c r="BY26" s="546"/>
      <c r="BZ26" s="345"/>
      <c r="CA26" s="340"/>
      <c r="CB26" s="478"/>
      <c r="CC26" s="915"/>
      <c r="CD26" s="267"/>
      <c r="CE26" s="264"/>
      <c r="CF26" s="267"/>
      <c r="CG26" s="264"/>
      <c r="CH26" s="162"/>
      <c r="CI26" s="470"/>
      <c r="CJ26" s="458"/>
      <c r="CK26" s="732"/>
      <c r="CL26" s="732"/>
      <c r="CM26" s="264"/>
      <c r="CN26" s="162"/>
      <c r="CO26" s="342"/>
      <c r="CP26" s="342"/>
      <c r="CQ26" s="342"/>
      <c r="CR26" s="219"/>
      <c r="CS26" s="471"/>
      <c r="CT26" s="560"/>
      <c r="CU26" s="553" t="s">
        <v>113</v>
      </c>
      <c r="CV26" s="712"/>
      <c r="CW26" s="555"/>
      <c r="CX26" s="323"/>
      <c r="CY26" s="320"/>
      <c r="CZ26" s="277"/>
    </row>
    <row r="27" spans="1:104" s="68" customFormat="1" ht="15" customHeight="1" thickBot="1" x14ac:dyDescent="0.35">
      <c r="A27" s="67" t="s">
        <v>115</v>
      </c>
      <c r="B27" s="64"/>
      <c r="C27" s="713"/>
      <c r="D27" s="703">
        <v>1</v>
      </c>
      <c r="E27" s="846">
        <v>3</v>
      </c>
      <c r="F27" s="703">
        <v>6</v>
      </c>
      <c r="G27" s="334"/>
      <c r="H27" s="847"/>
      <c r="I27" s="703">
        <v>3</v>
      </c>
      <c r="J27" s="848"/>
      <c r="K27" s="735">
        <v>1</v>
      </c>
      <c r="L27" s="720">
        <v>4</v>
      </c>
      <c r="M27" s="849"/>
      <c r="N27" s="720">
        <v>8</v>
      </c>
      <c r="O27" s="703">
        <v>7</v>
      </c>
      <c r="P27" s="563"/>
      <c r="Q27" s="735"/>
      <c r="R27" s="334"/>
      <c r="S27" s="720"/>
      <c r="T27" s="703">
        <v>9</v>
      </c>
      <c r="U27" s="847"/>
      <c r="V27" s="720"/>
      <c r="W27" s="836">
        <v>5</v>
      </c>
      <c r="X27" s="563">
        <v>3</v>
      </c>
      <c r="Y27" s="840">
        <v>12</v>
      </c>
      <c r="Z27" s="243" t="s">
        <v>115</v>
      </c>
      <c r="AA27" s="893">
        <v>0</v>
      </c>
      <c r="AB27" s="722"/>
      <c r="AC27" s="795"/>
      <c r="AD27" s="727"/>
      <c r="AE27" s="778"/>
      <c r="AF27" s="905"/>
      <c r="AG27" s="722"/>
      <c r="AH27" s="795"/>
      <c r="AI27" s="795"/>
      <c r="AJ27" s="755"/>
      <c r="AK27" s="819"/>
      <c r="AL27" s="648"/>
      <c r="AM27" s="768"/>
      <c r="AN27" s="724"/>
      <c r="AO27" s="545"/>
      <c r="AP27" s="795"/>
      <c r="AQ27" s="463"/>
      <c r="AR27" s="795"/>
      <c r="AS27" s="649"/>
      <c r="AT27" s="545"/>
      <c r="AU27" s="795"/>
      <c r="AV27" s="724"/>
      <c r="AW27" s="545"/>
      <c r="AX27" s="545"/>
      <c r="AY27" s="530"/>
      <c r="AZ27" s="743"/>
      <c r="BA27" s="724"/>
      <c r="BB27" s="724"/>
      <c r="BC27" s="743"/>
      <c r="BD27" s="780"/>
      <c r="BE27" s="795"/>
      <c r="BF27" s="724"/>
      <c r="BG27" s="724"/>
      <c r="BH27" s="530"/>
      <c r="BI27" s="724"/>
      <c r="BJ27" s="634"/>
      <c r="BK27" s="724"/>
      <c r="BL27" s="634"/>
      <c r="BM27" s="796"/>
      <c r="BN27" s="557"/>
      <c r="BO27" s="218"/>
      <c r="BP27" s="286"/>
      <c r="BQ27" s="578"/>
      <c r="BR27" s="286"/>
      <c r="BS27" s="218"/>
      <c r="BT27" s="218"/>
      <c r="BU27" s="286"/>
      <c r="BV27" s="267"/>
      <c r="BW27" s="264"/>
      <c r="BX27" s="550"/>
      <c r="BY27" s="286"/>
      <c r="BZ27" s="264"/>
      <c r="CA27" s="352"/>
      <c r="CB27" s="447"/>
      <c r="CC27" s="899"/>
      <c r="CD27" s="286"/>
      <c r="CE27" s="286"/>
      <c r="CF27" s="286"/>
      <c r="CG27" s="264"/>
      <c r="CH27" s="218"/>
      <c r="CI27" s="286"/>
      <c r="CJ27" s="455"/>
      <c r="CK27" s="910"/>
      <c r="CL27" s="734"/>
      <c r="CM27" s="286"/>
      <c r="CN27" s="218"/>
      <c r="CO27" s="286"/>
      <c r="CP27" s="286"/>
      <c r="CQ27" s="267"/>
      <c r="CR27" s="220"/>
      <c r="CS27" s="578"/>
      <c r="CT27" s="276"/>
      <c r="CU27" s="243" t="s">
        <v>115</v>
      </c>
      <c r="CV27" s="557"/>
      <c r="CW27" s="316"/>
      <c r="CX27" s="681">
        <v>42</v>
      </c>
      <c r="CY27" s="262">
        <v>5</v>
      </c>
      <c r="CZ27" s="288">
        <v>9</v>
      </c>
    </row>
    <row r="28" spans="1:104" s="68" customFormat="1" ht="30" customHeight="1" thickBot="1" x14ac:dyDescent="0.35">
      <c r="A28" s="63" t="s">
        <v>116</v>
      </c>
      <c r="B28" s="64"/>
      <c r="C28" s="850">
        <v>41</v>
      </c>
      <c r="D28" s="851"/>
      <c r="E28" s="852"/>
      <c r="F28" s="853"/>
      <c r="G28" s="854">
        <v>21.2</v>
      </c>
      <c r="H28" s="853"/>
      <c r="I28" s="852"/>
      <c r="J28" s="855">
        <v>42</v>
      </c>
      <c r="K28" s="852"/>
      <c r="L28" s="853"/>
      <c r="M28" s="855">
        <v>39</v>
      </c>
      <c r="N28" s="853"/>
      <c r="O28" s="853"/>
      <c r="P28" s="854">
        <v>18</v>
      </c>
      <c r="Q28" s="855">
        <v>30</v>
      </c>
      <c r="R28" s="854">
        <v>42</v>
      </c>
      <c r="S28" s="843">
        <v>42</v>
      </c>
      <c r="T28" s="853"/>
      <c r="U28" s="826"/>
      <c r="V28" s="856">
        <v>21</v>
      </c>
      <c r="W28" s="839">
        <v>20</v>
      </c>
      <c r="X28" s="858">
        <v>9</v>
      </c>
      <c r="Y28" s="857">
        <v>6</v>
      </c>
      <c r="Z28" s="242" t="s">
        <v>116</v>
      </c>
      <c r="AA28" s="822">
        <v>18</v>
      </c>
      <c r="AB28" s="784">
        <v>60</v>
      </c>
      <c r="AC28" s="798"/>
      <c r="AD28" s="765">
        <v>59.703544575725019</v>
      </c>
      <c r="AE28" s="774">
        <v>47.265306122448976</v>
      </c>
      <c r="AF28" s="906">
        <v>15.917525773195877</v>
      </c>
      <c r="AG28" s="871">
        <v>52.517006802721085</v>
      </c>
      <c r="AH28" s="799"/>
      <c r="AI28" s="799"/>
      <c r="AJ28" s="801">
        <v>9.391340206185566</v>
      </c>
      <c r="AK28" s="820">
        <v>64.955245255997127</v>
      </c>
      <c r="AL28" s="650"/>
      <c r="AM28" s="763">
        <v>12.438238453276046</v>
      </c>
      <c r="AN28" s="821">
        <v>27</v>
      </c>
      <c r="AO28" s="874">
        <v>22</v>
      </c>
      <c r="AP28" s="799"/>
      <c r="AQ28" s="775">
        <v>20</v>
      </c>
      <c r="AR28" s="799"/>
      <c r="AS28" s="645"/>
      <c r="AT28" s="860">
        <v>39.136896046852122</v>
      </c>
      <c r="AU28" s="799"/>
      <c r="AV28" s="765">
        <v>65</v>
      </c>
      <c r="AW28" s="766">
        <v>45.192266380236305</v>
      </c>
      <c r="AX28" s="764">
        <v>18.367496339677892</v>
      </c>
      <c r="AY28" s="763">
        <v>17.738511326860841</v>
      </c>
      <c r="AZ28" s="802">
        <v>21.170309278350516</v>
      </c>
      <c r="BA28" s="764">
        <v>48.094522019334043</v>
      </c>
      <c r="BB28" s="861">
        <v>36.59370424597364</v>
      </c>
      <c r="BC28" s="874">
        <v>20.215257731958761</v>
      </c>
      <c r="BD28" s="860">
        <v>24.160322108345532</v>
      </c>
      <c r="BE28" s="799"/>
      <c r="BF28" s="764">
        <v>56.524883637665589</v>
      </c>
      <c r="BG28" s="763">
        <v>34</v>
      </c>
      <c r="BH28" s="765">
        <v>45.330469029717143</v>
      </c>
      <c r="BI28" s="765">
        <v>29.326488706365506</v>
      </c>
      <c r="BJ28" s="802">
        <v>15.599175257731959</v>
      </c>
      <c r="BK28" s="763">
        <v>11.332617257429286</v>
      </c>
      <c r="BL28" s="764">
        <v>34</v>
      </c>
      <c r="BM28" s="788">
        <v>29.605825242718446</v>
      </c>
      <c r="BN28" s="613">
        <v>31</v>
      </c>
      <c r="BO28" s="162"/>
      <c r="BP28" s="267">
        <v>35.851779935275083</v>
      </c>
      <c r="BQ28" s="264">
        <v>15</v>
      </c>
      <c r="BR28" s="264">
        <v>62.882205513784456</v>
      </c>
      <c r="BS28" s="162"/>
      <c r="BT28" s="162"/>
      <c r="BU28" s="385">
        <v>53.069817400644467</v>
      </c>
      <c r="BV28" s="385">
        <v>65.646258503401356</v>
      </c>
      <c r="BW28" s="386">
        <v>17.429690721649482</v>
      </c>
      <c r="BX28" s="386">
        <v>25.43191800878477</v>
      </c>
      <c r="BY28" s="267">
        <v>58.459720730397414</v>
      </c>
      <c r="BZ28" s="883">
        <v>21.011134020618556</v>
      </c>
      <c r="CA28" s="340">
        <v>43.940702781844799</v>
      </c>
      <c r="CB28" s="692">
        <v>19.237540453074434</v>
      </c>
      <c r="CC28" s="733">
        <v>11.609022556390977</v>
      </c>
      <c r="CD28" s="884">
        <v>31.979288025889968</v>
      </c>
      <c r="CE28" s="385">
        <v>56.041207474844271</v>
      </c>
      <c r="CF28" s="385">
        <v>50.582169709989252</v>
      </c>
      <c r="CG28" s="386">
        <v>20.533608247422681</v>
      </c>
      <c r="CH28" s="162"/>
      <c r="CI28" s="385">
        <v>46.344983818770224</v>
      </c>
      <c r="CJ28" s="616">
        <v>71.03616183315431</v>
      </c>
      <c r="CK28" s="901">
        <v>66.060866451843893</v>
      </c>
      <c r="CL28" s="900">
        <v>34.401533301389556</v>
      </c>
      <c r="CM28" s="386">
        <v>11.609022556390977</v>
      </c>
      <c r="CN28" s="162"/>
      <c r="CO28" s="267">
        <v>61.36197636949516</v>
      </c>
      <c r="CP28" s="385">
        <v>64.54063730755459</v>
      </c>
      <c r="CQ28" s="267">
        <v>23.16</v>
      </c>
      <c r="CR28" s="221"/>
      <c r="CS28" s="386">
        <v>27.268667642752561</v>
      </c>
      <c r="CT28" s="387">
        <v>13.211546391752577</v>
      </c>
      <c r="CU28" s="242" t="s">
        <v>116</v>
      </c>
      <c r="CV28" s="283">
        <v>29</v>
      </c>
      <c r="CW28" s="323"/>
      <c r="CX28" s="340">
        <v>11</v>
      </c>
      <c r="CY28" s="478">
        <v>9</v>
      </c>
      <c r="CZ28" s="276">
        <v>8</v>
      </c>
    </row>
    <row r="29" spans="1:104" s="68" customFormat="1" ht="15" customHeight="1" thickBot="1" x14ac:dyDescent="0.35">
      <c r="A29" s="63" t="s">
        <v>117</v>
      </c>
      <c r="B29" s="64"/>
      <c r="C29" s="955"/>
      <c r="D29" s="956"/>
      <c r="E29" s="956"/>
      <c r="F29" s="956"/>
      <c r="G29" s="703"/>
      <c r="H29" s="930"/>
      <c r="I29" s="678"/>
      <c r="J29" s="334"/>
      <c r="K29" s="962"/>
      <c r="L29" s="930"/>
      <c r="M29" s="703"/>
      <c r="N29" s="962"/>
      <c r="O29" s="956"/>
      <c r="P29" s="930"/>
      <c r="Q29" s="334"/>
      <c r="R29" s="962"/>
      <c r="S29" s="956"/>
      <c r="T29" s="956"/>
      <c r="U29" s="714"/>
      <c r="V29" s="962"/>
      <c r="W29" s="736"/>
      <c r="X29" s="564"/>
      <c r="Y29" s="978"/>
      <c r="Z29" s="242" t="s">
        <v>117</v>
      </c>
      <c r="AA29" s="646"/>
      <c r="AB29" s="464"/>
      <c r="AC29" s="547"/>
      <c r="AD29" s="544"/>
      <c r="AE29" s="702"/>
      <c r="AF29" s="649"/>
      <c r="AG29" s="464"/>
      <c r="AH29" s="547"/>
      <c r="AI29" s="547"/>
      <c r="AJ29" s="648"/>
      <c r="AK29" s="544"/>
      <c r="AL29" s="648"/>
      <c r="AM29" s="544"/>
      <c r="AN29" s="652"/>
      <c r="AO29" s="653"/>
      <c r="AP29" s="547"/>
      <c r="AQ29" s="464"/>
      <c r="AR29" s="547"/>
      <c r="AS29" s="654"/>
      <c r="AT29" s="544"/>
      <c r="AU29" s="797"/>
      <c r="AV29" s="544"/>
      <c r="AW29" s="452"/>
      <c r="AX29" s="464"/>
      <c r="AY29" s="544"/>
      <c r="AZ29" s="651"/>
      <c r="BA29" s="464"/>
      <c r="BB29" s="544"/>
      <c r="BC29" s="647"/>
      <c r="BD29" s="452"/>
      <c r="BE29" s="547"/>
      <c r="BF29" s="452"/>
      <c r="BG29" s="452"/>
      <c r="BH29" s="544"/>
      <c r="BI29" s="769"/>
      <c r="BJ29" s="646"/>
      <c r="BK29" s="551"/>
      <c r="BL29" s="649"/>
      <c r="BM29" s="767"/>
      <c r="BN29" s="284"/>
      <c r="BO29" s="162"/>
      <c r="BP29" s="340"/>
      <c r="BQ29" s="222"/>
      <c r="BR29" s="264"/>
      <c r="BS29" s="162"/>
      <c r="BT29" s="162"/>
      <c r="BU29" s="267"/>
      <c r="BV29" s="267"/>
      <c r="BW29" s="223"/>
      <c r="BX29" s="264"/>
      <c r="BY29" s="453"/>
      <c r="BZ29" s="230"/>
      <c r="CA29" s="544"/>
      <c r="CB29" s="478"/>
      <c r="CC29" s="916"/>
      <c r="CD29" s="457"/>
      <c r="CE29" s="449"/>
      <c r="CF29" s="267"/>
      <c r="CG29" s="223"/>
      <c r="CH29" s="162"/>
      <c r="CI29" s="342"/>
      <c r="CJ29" s="732"/>
      <c r="CK29" s="580"/>
      <c r="CL29" s="340"/>
      <c r="CM29" s="449"/>
      <c r="CN29" s="162"/>
      <c r="CO29" s="340"/>
      <c r="CP29" s="267"/>
      <c r="CQ29" s="225"/>
      <c r="CR29" s="221"/>
      <c r="CS29" s="267"/>
      <c r="CT29" s="226"/>
      <c r="CU29" s="242" t="s">
        <v>117</v>
      </c>
      <c r="CV29" s="283"/>
      <c r="CW29" s="323"/>
      <c r="CX29" s="564"/>
      <c r="CY29" s="350"/>
      <c r="CZ29" s="325"/>
    </row>
    <row r="30" spans="1:104" s="68" customFormat="1" ht="15" customHeight="1" thickBot="1" x14ac:dyDescent="0.35">
      <c r="A30" s="67" t="s">
        <v>118</v>
      </c>
      <c r="B30" s="64"/>
      <c r="C30" s="955"/>
      <c r="D30" s="957"/>
      <c r="E30" s="957"/>
      <c r="F30" s="931"/>
      <c r="G30" s="917">
        <v>19.2</v>
      </c>
      <c r="H30" s="953"/>
      <c r="I30" s="919"/>
      <c r="J30" s="921">
        <v>122</v>
      </c>
      <c r="K30" s="963"/>
      <c r="L30" s="931"/>
      <c r="M30" s="923">
        <v>34</v>
      </c>
      <c r="N30" s="963"/>
      <c r="O30" s="957"/>
      <c r="P30" s="931"/>
      <c r="Q30" s="921">
        <v>26</v>
      </c>
      <c r="R30" s="963"/>
      <c r="S30" s="957"/>
      <c r="T30" s="957"/>
      <c r="U30" s="466">
        <v>13</v>
      </c>
      <c r="V30" s="957"/>
      <c r="W30" s="836">
        <v>6</v>
      </c>
      <c r="X30" s="859"/>
      <c r="Y30" s="979"/>
      <c r="Z30" s="243" t="s">
        <v>118</v>
      </c>
      <c r="AA30" s="648"/>
      <c r="AB30" s="742"/>
      <c r="AC30" s="815"/>
      <c r="AD30" s="743"/>
      <c r="AE30" s="748"/>
      <c r="AF30" s="649"/>
      <c r="AG30" s="743"/>
      <c r="AH30" s="795"/>
      <c r="AI30" s="795"/>
      <c r="AJ30" s="648"/>
      <c r="AK30" s="750"/>
      <c r="AL30" s="648"/>
      <c r="AM30" s="743"/>
      <c r="AN30" s="655"/>
      <c r="AO30" s="656"/>
      <c r="AP30" s="795"/>
      <c r="AQ30" s="463"/>
      <c r="AR30" s="795"/>
      <c r="AS30" s="649"/>
      <c r="AT30" s="634"/>
      <c r="AU30" s="795"/>
      <c r="AV30" s="530"/>
      <c r="AW30" s="545"/>
      <c r="AX30" s="724"/>
      <c r="AY30" s="724"/>
      <c r="AZ30" s="654"/>
      <c r="BA30" s="545"/>
      <c r="BB30" s="724"/>
      <c r="BC30" s="649"/>
      <c r="BD30" s="724"/>
      <c r="BE30" s="795"/>
      <c r="BF30" s="545"/>
      <c r="BG30" s="724"/>
      <c r="BH30" s="768"/>
      <c r="BI30" s="530"/>
      <c r="BJ30" s="648"/>
      <c r="BK30" s="530"/>
      <c r="BL30" s="649"/>
      <c r="BM30" s="803"/>
      <c r="BN30" s="282"/>
      <c r="BO30" s="162"/>
      <c r="BP30" s="286"/>
      <c r="BQ30" s="187"/>
      <c r="BR30" s="264"/>
      <c r="BS30" s="218"/>
      <c r="BT30" s="218"/>
      <c r="BU30" s="267"/>
      <c r="BV30" s="267"/>
      <c r="BW30" s="185"/>
      <c r="BX30" s="286"/>
      <c r="BY30" s="267"/>
      <c r="BZ30" s="221"/>
      <c r="CA30" s="455"/>
      <c r="CB30" s="286"/>
      <c r="CC30" s="733"/>
      <c r="CD30" s="550"/>
      <c r="CE30" s="264"/>
      <c r="CF30" s="267"/>
      <c r="CG30" s="185"/>
      <c r="CH30" s="218"/>
      <c r="CI30" s="267"/>
      <c r="CJ30" s="578"/>
      <c r="CK30" s="902"/>
      <c r="CL30" s="900"/>
      <c r="CM30" s="264"/>
      <c r="CN30" s="218"/>
      <c r="CO30" s="272"/>
      <c r="CP30" s="267"/>
      <c r="CQ30" s="188"/>
      <c r="CR30" s="221"/>
      <c r="CS30" s="286"/>
      <c r="CT30" s="227"/>
      <c r="CU30" s="243" t="s">
        <v>118</v>
      </c>
      <c r="CV30" s="281">
        <v>34</v>
      </c>
      <c r="CW30" s="624"/>
      <c r="CX30" s="640"/>
      <c r="CY30" s="443"/>
      <c r="CZ30" s="622"/>
    </row>
    <row r="31" spans="1:104" s="68" customFormat="1" ht="30" customHeight="1" thickBot="1" x14ac:dyDescent="0.35">
      <c r="A31" s="63" t="s">
        <v>119</v>
      </c>
      <c r="B31" s="64"/>
      <c r="C31" s="955"/>
      <c r="D31" s="957"/>
      <c r="E31" s="957"/>
      <c r="F31" s="931"/>
      <c r="G31" s="918"/>
      <c r="H31" s="953"/>
      <c r="I31" s="920"/>
      <c r="J31" s="922"/>
      <c r="K31" s="963"/>
      <c r="L31" s="931"/>
      <c r="M31" s="924"/>
      <c r="N31" s="963"/>
      <c r="O31" s="957"/>
      <c r="P31" s="931"/>
      <c r="Q31" s="922"/>
      <c r="R31" s="963"/>
      <c r="S31" s="957"/>
      <c r="T31" s="957"/>
      <c r="U31" s="957"/>
      <c r="V31" s="957"/>
      <c r="W31" s="850">
        <v>5</v>
      </c>
      <c r="X31" s="829">
        <v>23</v>
      </c>
      <c r="Y31" s="979"/>
      <c r="Z31" s="242" t="s">
        <v>119</v>
      </c>
      <c r="AA31" s="648"/>
      <c r="AB31" s="816">
        <v>28</v>
      </c>
      <c r="AC31" s="817"/>
      <c r="AD31" s="802">
        <v>27.06766917293233</v>
      </c>
      <c r="AE31" s="865">
        <v>21.428571428571427</v>
      </c>
      <c r="AF31" s="657"/>
      <c r="AG31" s="802">
        <v>29</v>
      </c>
      <c r="AH31" s="799"/>
      <c r="AI31" s="799"/>
      <c r="AJ31" s="650"/>
      <c r="AK31" s="821">
        <v>29.44862155388471</v>
      </c>
      <c r="AL31" s="650"/>
      <c r="AM31" s="872">
        <v>5.6390977443609023</v>
      </c>
      <c r="AN31" s="659"/>
      <c r="AO31" s="660"/>
      <c r="AP31" s="799"/>
      <c r="AQ31" s="775">
        <v>17</v>
      </c>
      <c r="AR31" s="799"/>
      <c r="AS31" s="645"/>
      <c r="AT31" s="764">
        <v>35.48682284040995</v>
      </c>
      <c r="AU31" s="799"/>
      <c r="AV31" s="802">
        <v>30</v>
      </c>
      <c r="AW31" s="802">
        <v>20.488721804511275</v>
      </c>
      <c r="AX31" s="764">
        <v>16.65446559297218</v>
      </c>
      <c r="AY31" s="763">
        <v>16.084142394822006</v>
      </c>
      <c r="AZ31" s="658"/>
      <c r="BA31" s="802">
        <v>32</v>
      </c>
      <c r="BB31" s="763">
        <v>33.180819912152266</v>
      </c>
      <c r="BC31" s="645"/>
      <c r="BD31" s="860">
        <v>21.907027818448022</v>
      </c>
      <c r="BE31" s="799"/>
      <c r="BF31" s="805">
        <v>25.626566416040099</v>
      </c>
      <c r="BG31" s="763">
        <v>31</v>
      </c>
      <c r="BH31" s="802">
        <v>20.551378446115287</v>
      </c>
      <c r="BI31" s="802">
        <v>13.295687885010267</v>
      </c>
      <c r="BJ31" s="650"/>
      <c r="BK31" s="802">
        <v>5.1378446115288217</v>
      </c>
      <c r="BL31" s="657"/>
      <c r="BM31" s="804">
        <v>26.844660194174757</v>
      </c>
      <c r="BN31" s="283">
        <v>28</v>
      </c>
      <c r="BO31" s="162"/>
      <c r="BP31" s="267">
        <v>32.508090614886733</v>
      </c>
      <c r="BQ31" s="187"/>
      <c r="BR31" s="264">
        <v>28.508771929824558</v>
      </c>
      <c r="BS31" s="162"/>
      <c r="BT31" s="162"/>
      <c r="BU31" s="385">
        <v>24.060150375939848</v>
      </c>
      <c r="BV31" s="385">
        <v>29.761904761904759</v>
      </c>
      <c r="BW31" s="186"/>
      <c r="BX31" s="264">
        <v>23.060029282576863</v>
      </c>
      <c r="BY31" s="267">
        <v>26.503759398496239</v>
      </c>
      <c r="BZ31" s="221"/>
      <c r="CA31" s="385">
        <v>39.842606149341137</v>
      </c>
      <c r="CB31" s="385">
        <v>17.443365695792881</v>
      </c>
      <c r="CC31" s="733">
        <v>5.2631578947368416</v>
      </c>
      <c r="CD31" s="885">
        <v>28.996763754045308</v>
      </c>
      <c r="CE31" s="886">
        <v>25.407283181600384</v>
      </c>
      <c r="CF31" s="267">
        <v>22.932330827067666</v>
      </c>
      <c r="CG31" s="186"/>
      <c r="CH31" s="162"/>
      <c r="CI31" s="267">
        <v>42.02265372168285</v>
      </c>
      <c r="CJ31" s="264">
        <v>32.205513784461154</v>
      </c>
      <c r="CK31" s="901">
        <v>29.94987468671679</v>
      </c>
      <c r="CL31" s="449">
        <v>15.596550071873502</v>
      </c>
      <c r="CM31" s="886">
        <v>5.2631578947368416</v>
      </c>
      <c r="CN31" s="687"/>
      <c r="CO31" s="476">
        <v>27.819548872180448</v>
      </c>
      <c r="CP31" s="900">
        <v>29.260651629072679</v>
      </c>
      <c r="CQ31" s="188"/>
      <c r="CR31" s="221"/>
      <c r="CS31" s="385">
        <v>24.725475841874083</v>
      </c>
      <c r="CT31" s="227"/>
      <c r="CU31" s="242" t="s">
        <v>119</v>
      </c>
      <c r="CV31" s="283">
        <v>14</v>
      </c>
      <c r="CW31" s="323"/>
      <c r="CX31" s="340">
        <v>58</v>
      </c>
      <c r="CY31" s="476">
        <v>23</v>
      </c>
      <c r="CZ31" s="623"/>
    </row>
    <row r="32" spans="1:104" s="68" customFormat="1" ht="15" customHeight="1" x14ac:dyDescent="0.3">
      <c r="A32" s="63" t="s">
        <v>120</v>
      </c>
      <c r="B32" s="64"/>
      <c r="C32" s="955"/>
      <c r="D32" s="957"/>
      <c r="E32" s="957"/>
      <c r="F32" s="931"/>
      <c r="G32" s="619"/>
      <c r="H32" s="953"/>
      <c r="I32" s="690"/>
      <c r="J32" s="619"/>
      <c r="K32" s="963"/>
      <c r="L32" s="931"/>
      <c r="M32" s="737"/>
      <c r="N32" s="963"/>
      <c r="O32" s="957"/>
      <c r="P32" s="931"/>
      <c r="Q32" s="619"/>
      <c r="R32" s="963"/>
      <c r="S32" s="957"/>
      <c r="T32" s="957"/>
      <c r="U32" s="957"/>
      <c r="V32" s="957"/>
      <c r="W32" s="951"/>
      <c r="X32" s="564"/>
      <c r="Y32" s="980"/>
      <c r="Z32" s="242" t="s">
        <v>120</v>
      </c>
      <c r="AA32" s="648"/>
      <c r="AB32" s="653"/>
      <c r="AC32" s="338"/>
      <c r="AD32" s="654"/>
      <c r="AE32" s="648"/>
      <c r="AF32" s="648"/>
      <c r="AG32" s="661"/>
      <c r="AH32" s="547"/>
      <c r="AI32" s="547"/>
      <c r="AJ32" s="648"/>
      <c r="AK32" s="662"/>
      <c r="AL32" s="648"/>
      <c r="AM32" s="662"/>
      <c r="AN32" s="655"/>
      <c r="AO32" s="656"/>
      <c r="AP32" s="547"/>
      <c r="AQ32" s="464"/>
      <c r="AR32" s="547"/>
      <c r="AS32" s="649"/>
      <c r="AT32" s="464"/>
      <c r="AU32" s="547"/>
      <c r="AV32" s="654"/>
      <c r="AW32" s="661"/>
      <c r="AX32" s="464"/>
      <c r="AY32" s="544"/>
      <c r="AZ32" s="654"/>
      <c r="BA32" s="653"/>
      <c r="BB32" s="544"/>
      <c r="BC32" s="649"/>
      <c r="BD32" s="452"/>
      <c r="BE32" s="547"/>
      <c r="BF32" s="647"/>
      <c r="BG32" s="551"/>
      <c r="BH32" s="651"/>
      <c r="BI32" s="652"/>
      <c r="BJ32" s="648"/>
      <c r="BK32" s="663"/>
      <c r="BL32" s="661"/>
      <c r="BM32" s="277"/>
      <c r="BN32" s="284"/>
      <c r="BO32" s="162"/>
      <c r="BP32" s="340"/>
      <c r="BQ32" s="187"/>
      <c r="BR32" s="228"/>
      <c r="BS32" s="162"/>
      <c r="BT32" s="162"/>
      <c r="BU32" s="187"/>
      <c r="BV32" s="184"/>
      <c r="BW32" s="221"/>
      <c r="BX32" s="345"/>
      <c r="BY32" s="229"/>
      <c r="BZ32" s="221"/>
      <c r="CA32" s="345"/>
      <c r="CB32" s="345"/>
      <c r="CC32" s="223"/>
      <c r="CD32" s="267"/>
      <c r="CE32" s="187"/>
      <c r="CF32" s="184"/>
      <c r="CG32" s="221"/>
      <c r="CH32" s="162"/>
      <c r="CI32" s="340"/>
      <c r="CJ32" s="222"/>
      <c r="CK32" s="184"/>
      <c r="CL32" s="230"/>
      <c r="CM32" s="224"/>
      <c r="CN32" s="162"/>
      <c r="CO32" s="187"/>
      <c r="CP32" s="225"/>
      <c r="CQ32" s="188"/>
      <c r="CR32" s="221"/>
      <c r="CS32" s="267"/>
      <c r="CT32" s="227"/>
      <c r="CU32" s="242" t="s">
        <v>120</v>
      </c>
      <c r="CV32" s="327"/>
      <c r="CW32" s="558"/>
      <c r="CX32" s="683"/>
      <c r="CY32" s="544"/>
      <c r="CZ32" s="325"/>
    </row>
    <row r="33" spans="1:104" s="68" customFormat="1" ht="15" customHeight="1" x14ac:dyDescent="0.3">
      <c r="A33" s="67" t="s">
        <v>121</v>
      </c>
      <c r="B33" s="64"/>
      <c r="C33" s="955"/>
      <c r="D33" s="957"/>
      <c r="E33" s="957"/>
      <c r="F33" s="931"/>
      <c r="G33" s="334"/>
      <c r="H33" s="953"/>
      <c r="I33" s="350"/>
      <c r="J33" s="334"/>
      <c r="K33" s="963"/>
      <c r="L33" s="957"/>
      <c r="M33" s="350"/>
      <c r="N33" s="957"/>
      <c r="O33" s="957"/>
      <c r="P33" s="931"/>
      <c r="Q33" s="350"/>
      <c r="R33" s="963"/>
      <c r="S33" s="957"/>
      <c r="T33" s="957"/>
      <c r="U33" s="957"/>
      <c r="V33" s="957"/>
      <c r="W33" s="955"/>
      <c r="X33" s="466">
        <v>24</v>
      </c>
      <c r="Y33" s="979"/>
      <c r="Z33" s="243" t="s">
        <v>121</v>
      </c>
      <c r="AA33" s="648"/>
      <c r="AB33" s="656"/>
      <c r="AC33" s="743">
        <v>9</v>
      </c>
      <c r="AD33" s="654"/>
      <c r="AE33" s="648"/>
      <c r="AF33" s="648"/>
      <c r="AG33" s="661"/>
      <c r="AH33" s="743">
        <v>10</v>
      </c>
      <c r="AI33" s="743">
        <v>36</v>
      </c>
      <c r="AJ33" s="648"/>
      <c r="AK33" s="664"/>
      <c r="AL33" s="648"/>
      <c r="AM33" s="664"/>
      <c r="AN33" s="655"/>
      <c r="AO33" s="656"/>
      <c r="AP33" s="743">
        <v>10</v>
      </c>
      <c r="AQ33" s="746"/>
      <c r="AR33" s="743">
        <v>10</v>
      </c>
      <c r="AS33" s="649"/>
      <c r="AT33" s="742"/>
      <c r="AU33" s="743">
        <v>10</v>
      </c>
      <c r="AV33" s="654"/>
      <c r="AW33" s="661"/>
      <c r="AX33" s="810"/>
      <c r="AY33" s="806"/>
      <c r="AZ33" s="654"/>
      <c r="BA33" s="656"/>
      <c r="BB33" s="806"/>
      <c r="BC33" s="649"/>
      <c r="BD33" s="810"/>
      <c r="BE33" s="743">
        <v>24</v>
      </c>
      <c r="BF33" s="649"/>
      <c r="BG33" s="806"/>
      <c r="BH33" s="654"/>
      <c r="BI33" s="655"/>
      <c r="BJ33" s="648"/>
      <c r="BK33" s="663"/>
      <c r="BL33" s="661"/>
      <c r="BM33" s="808"/>
      <c r="BN33" s="284"/>
      <c r="BO33" s="267">
        <v>7</v>
      </c>
      <c r="BP33" s="287"/>
      <c r="BQ33" s="187"/>
      <c r="BR33" s="189"/>
      <c r="BS33" s="385">
        <v>5</v>
      </c>
      <c r="BT33" s="385">
        <v>10</v>
      </c>
      <c r="BU33" s="187"/>
      <c r="BV33" s="184"/>
      <c r="BW33" s="221"/>
      <c r="BX33" s="267"/>
      <c r="BY33" s="231"/>
      <c r="BZ33" s="221"/>
      <c r="CA33" s="267"/>
      <c r="CB33" s="267"/>
      <c r="CC33" s="185"/>
      <c r="CD33" s="267"/>
      <c r="CE33" s="187"/>
      <c r="CF33" s="184"/>
      <c r="CG33" s="221"/>
      <c r="CH33" s="267">
        <v>8</v>
      </c>
      <c r="CI33" s="267"/>
      <c r="CJ33" s="187"/>
      <c r="CK33" s="184"/>
      <c r="CL33" s="184"/>
      <c r="CM33" s="221"/>
      <c r="CN33" s="267">
        <v>10</v>
      </c>
      <c r="CO33" s="187"/>
      <c r="CP33" s="188"/>
      <c r="CQ33" s="188"/>
      <c r="CR33" s="221"/>
      <c r="CS33" s="267"/>
      <c r="CT33" s="227"/>
      <c r="CU33" s="243" t="s">
        <v>121</v>
      </c>
      <c r="CV33" s="315"/>
      <c r="CW33" s="624"/>
      <c r="CX33" s="458">
        <v>16</v>
      </c>
      <c r="CY33" s="682">
        <v>13</v>
      </c>
      <c r="CZ33" s="317"/>
    </row>
    <row r="34" spans="1:104" s="68" customFormat="1" ht="30" customHeight="1" thickBot="1" x14ac:dyDescent="0.35">
      <c r="A34" s="63" t="s">
        <v>122</v>
      </c>
      <c r="B34" s="64"/>
      <c r="C34" s="958"/>
      <c r="D34" s="959"/>
      <c r="E34" s="959"/>
      <c r="F34" s="960"/>
      <c r="G34" s="844">
        <v>19.7</v>
      </c>
      <c r="H34" s="961"/>
      <c r="I34" s="845">
        <v>44</v>
      </c>
      <c r="J34" s="844">
        <v>35</v>
      </c>
      <c r="K34" s="964"/>
      <c r="L34" s="959"/>
      <c r="M34" s="845">
        <v>85</v>
      </c>
      <c r="N34" s="959"/>
      <c r="O34" s="959"/>
      <c r="P34" s="959"/>
      <c r="Q34" s="845">
        <v>85</v>
      </c>
      <c r="R34" s="959"/>
      <c r="S34" s="959"/>
      <c r="T34" s="959"/>
      <c r="U34" s="959"/>
      <c r="V34" s="959"/>
      <c r="W34" s="955"/>
      <c r="X34" s="737">
        <v>4</v>
      </c>
      <c r="Y34" s="979"/>
      <c r="Z34" s="242" t="s">
        <v>122</v>
      </c>
      <c r="AA34" s="665"/>
      <c r="AB34" s="666"/>
      <c r="AC34" s="813"/>
      <c r="AD34" s="667"/>
      <c r="AE34" s="665"/>
      <c r="AF34" s="665"/>
      <c r="AG34" s="668"/>
      <c r="AH34" s="813"/>
      <c r="AI34" s="813"/>
      <c r="AJ34" s="665"/>
      <c r="AK34" s="669"/>
      <c r="AL34" s="665"/>
      <c r="AM34" s="669"/>
      <c r="AN34" s="670"/>
      <c r="AO34" s="666"/>
      <c r="AP34" s="813"/>
      <c r="AQ34" s="814">
        <v>7.1002928257686682</v>
      </c>
      <c r="AR34" s="812"/>
      <c r="AS34" s="671"/>
      <c r="AT34" s="875">
        <v>12.369692532942899</v>
      </c>
      <c r="AU34" s="812"/>
      <c r="AV34" s="672"/>
      <c r="AW34" s="673"/>
      <c r="AX34" s="811">
        <v>5.805270863836018</v>
      </c>
      <c r="AY34" s="807">
        <v>5.6064724919093853</v>
      </c>
      <c r="AZ34" s="672"/>
      <c r="BA34" s="674"/>
      <c r="BB34" s="807">
        <v>11.565885797950219</v>
      </c>
      <c r="BC34" s="671"/>
      <c r="BD34" s="811">
        <v>7.6361639824304541</v>
      </c>
      <c r="BE34" s="812"/>
      <c r="BF34" s="671"/>
      <c r="BG34" s="807">
        <v>15</v>
      </c>
      <c r="BH34" s="672"/>
      <c r="BI34" s="675"/>
      <c r="BJ34" s="676"/>
      <c r="BK34" s="677"/>
      <c r="BL34" s="673"/>
      <c r="BM34" s="809">
        <v>9.3572815533980584</v>
      </c>
      <c r="BN34" s="614">
        <v>14</v>
      </c>
      <c r="BO34" s="343"/>
      <c r="BP34" s="272">
        <v>24</v>
      </c>
      <c r="BQ34" s="191"/>
      <c r="BR34" s="193"/>
      <c r="BS34" s="343"/>
      <c r="BT34" s="343"/>
      <c r="BU34" s="191"/>
      <c r="BV34" s="195"/>
      <c r="BW34" s="192"/>
      <c r="BX34" s="549">
        <v>8.0380673499267932</v>
      </c>
      <c r="BY34" s="232"/>
      <c r="BZ34" s="192"/>
      <c r="CA34" s="272">
        <v>13.887994143484628</v>
      </c>
      <c r="CB34" s="272">
        <v>6.0802588996763758</v>
      </c>
      <c r="CC34" s="190"/>
      <c r="CD34" s="272">
        <v>10.107443365695794</v>
      </c>
      <c r="CE34" s="191"/>
      <c r="CF34" s="195"/>
      <c r="CG34" s="192"/>
      <c r="CH34" s="343"/>
      <c r="CI34" s="272">
        <v>44</v>
      </c>
      <c r="CJ34" s="191"/>
      <c r="CK34" s="195"/>
      <c r="CL34" s="195"/>
      <c r="CM34" s="192"/>
      <c r="CN34" s="343"/>
      <c r="CO34" s="191"/>
      <c r="CP34" s="194"/>
      <c r="CQ34" s="194"/>
      <c r="CR34" s="192"/>
      <c r="CS34" s="290">
        <v>8.6185944363103957</v>
      </c>
      <c r="CT34" s="233"/>
      <c r="CU34" s="242" t="s">
        <v>122</v>
      </c>
      <c r="CV34" s="328"/>
      <c r="CW34" s="536"/>
      <c r="CX34" s="544">
        <v>15</v>
      </c>
      <c r="CY34" s="679">
        <v>8</v>
      </c>
      <c r="CZ34" s="329"/>
    </row>
    <row r="35" spans="1:104" s="2" customFormat="1" ht="21.75" customHeight="1" x14ac:dyDescent="0.3">
      <c r="A35" s="58" t="s">
        <v>110</v>
      </c>
      <c r="B35"/>
      <c r="C35" s="86">
        <v>0</v>
      </c>
      <c r="D35" s="91">
        <v>0</v>
      </c>
      <c r="E35" s="91">
        <v>0</v>
      </c>
      <c r="F35" s="91">
        <v>0</v>
      </c>
      <c r="G35" s="70">
        <v>3</v>
      </c>
      <c r="H35" s="91">
        <v>1</v>
      </c>
      <c r="I35" s="70">
        <v>3</v>
      </c>
      <c r="J35" s="91">
        <v>1</v>
      </c>
      <c r="K35" s="70">
        <v>0</v>
      </c>
      <c r="L35" s="70">
        <v>0</v>
      </c>
      <c r="M35" s="70">
        <v>2</v>
      </c>
      <c r="N35" s="70">
        <v>0</v>
      </c>
      <c r="O35" s="70">
        <v>0</v>
      </c>
      <c r="P35" s="70">
        <v>0</v>
      </c>
      <c r="Q35" s="70">
        <v>1</v>
      </c>
      <c r="R35" s="70">
        <v>1</v>
      </c>
      <c r="S35" s="70">
        <v>0</v>
      </c>
      <c r="T35" s="70">
        <v>0</v>
      </c>
      <c r="U35" s="70">
        <v>0</v>
      </c>
      <c r="V35" s="535">
        <v>0</v>
      </c>
      <c r="W35" s="738">
        <v>2</v>
      </c>
      <c r="X35" s="91">
        <v>2</v>
      </c>
      <c r="Y35" s="739">
        <v>0</v>
      </c>
      <c r="Z35" s="245" t="s">
        <v>110</v>
      </c>
      <c r="AA35" s="238">
        <v>3</v>
      </c>
      <c r="AB35" s="143">
        <v>7</v>
      </c>
      <c r="AC35" s="143">
        <v>5</v>
      </c>
      <c r="AD35" s="143">
        <v>6</v>
      </c>
      <c r="AE35" s="143">
        <v>5</v>
      </c>
      <c r="AF35" s="143">
        <v>7</v>
      </c>
      <c r="AG35" s="143">
        <v>3</v>
      </c>
      <c r="AH35" s="143">
        <v>4</v>
      </c>
      <c r="AI35" s="143">
        <v>4</v>
      </c>
      <c r="AJ35" s="143">
        <v>7</v>
      </c>
      <c r="AK35" s="143">
        <v>5</v>
      </c>
      <c r="AL35" s="143">
        <v>2</v>
      </c>
      <c r="AM35" s="143">
        <v>7</v>
      </c>
      <c r="AN35" s="143">
        <v>3</v>
      </c>
      <c r="AO35" s="143">
        <v>5</v>
      </c>
      <c r="AP35" s="143">
        <v>3</v>
      </c>
      <c r="AQ35" s="144">
        <v>6</v>
      </c>
      <c r="AR35" s="144">
        <v>4</v>
      </c>
      <c r="AS35" s="144">
        <v>2</v>
      </c>
      <c r="AT35" s="145">
        <v>5</v>
      </c>
      <c r="AU35" s="146">
        <v>5</v>
      </c>
      <c r="AV35" s="144">
        <v>6</v>
      </c>
      <c r="AW35" s="144">
        <v>5</v>
      </c>
      <c r="AX35" s="144">
        <v>5</v>
      </c>
      <c r="AY35" s="144">
        <v>6</v>
      </c>
      <c r="AZ35" s="144">
        <v>5</v>
      </c>
      <c r="BA35" s="146">
        <v>5</v>
      </c>
      <c r="BB35" s="144">
        <v>4</v>
      </c>
      <c r="BC35" s="147">
        <v>3</v>
      </c>
      <c r="BD35" s="144">
        <v>4</v>
      </c>
      <c r="BE35" s="144">
        <v>4</v>
      </c>
      <c r="BF35" s="144">
        <v>5</v>
      </c>
      <c r="BG35" s="144">
        <v>6</v>
      </c>
      <c r="BH35" s="144">
        <v>7</v>
      </c>
      <c r="BI35" s="144">
        <v>5</v>
      </c>
      <c r="BJ35" s="144">
        <v>7</v>
      </c>
      <c r="BK35" s="144">
        <v>6</v>
      </c>
      <c r="BL35" s="144">
        <v>5</v>
      </c>
      <c r="BM35" s="149">
        <v>8</v>
      </c>
      <c r="BN35" s="142">
        <v>6</v>
      </c>
      <c r="BO35" s="143">
        <v>5</v>
      </c>
      <c r="BP35" s="143">
        <v>9</v>
      </c>
      <c r="BQ35" s="143">
        <v>5</v>
      </c>
      <c r="BR35" s="143">
        <v>5</v>
      </c>
      <c r="BS35" s="143">
        <v>2</v>
      </c>
      <c r="BT35" s="143">
        <v>4</v>
      </c>
      <c r="BU35" s="143">
        <v>3</v>
      </c>
      <c r="BV35" s="143">
        <v>2</v>
      </c>
      <c r="BW35" s="143">
        <v>2</v>
      </c>
      <c r="BX35" s="143">
        <v>2</v>
      </c>
      <c r="BY35" s="143">
        <v>3</v>
      </c>
      <c r="BZ35" s="143">
        <v>6</v>
      </c>
      <c r="CA35" s="143">
        <v>5</v>
      </c>
      <c r="CB35" s="143">
        <v>4</v>
      </c>
      <c r="CC35" s="143">
        <v>4</v>
      </c>
      <c r="CD35" s="144">
        <v>5</v>
      </c>
      <c r="CE35" s="144">
        <v>5</v>
      </c>
      <c r="CF35" s="144">
        <v>3</v>
      </c>
      <c r="CG35" s="145">
        <v>5</v>
      </c>
      <c r="CH35" s="146">
        <v>4</v>
      </c>
      <c r="CI35" s="144">
        <v>7</v>
      </c>
      <c r="CJ35" s="144">
        <v>6</v>
      </c>
      <c r="CK35" s="144">
        <v>6</v>
      </c>
      <c r="CL35" s="144">
        <v>6</v>
      </c>
      <c r="CM35" s="144">
        <v>2</v>
      </c>
      <c r="CN35" s="146">
        <v>4</v>
      </c>
      <c r="CO35" s="144">
        <v>7</v>
      </c>
      <c r="CP35" s="147">
        <v>6</v>
      </c>
      <c r="CQ35" s="144">
        <v>5</v>
      </c>
      <c r="CR35" s="144">
        <v>3</v>
      </c>
      <c r="CS35" s="144">
        <v>6</v>
      </c>
      <c r="CT35" s="149">
        <v>2</v>
      </c>
      <c r="CU35" s="245" t="s">
        <v>110</v>
      </c>
      <c r="CV35" s="142">
        <v>5</v>
      </c>
      <c r="CW35" s="143">
        <v>4</v>
      </c>
      <c r="CX35" s="680">
        <v>2</v>
      </c>
      <c r="CY35" s="143">
        <v>2</v>
      </c>
      <c r="CZ35" s="294">
        <v>4</v>
      </c>
    </row>
    <row r="36" spans="1:104" s="2" customFormat="1" ht="21.95" customHeight="1" thickBot="1" x14ac:dyDescent="0.35">
      <c r="A36" s="18" t="s">
        <v>20</v>
      </c>
      <c r="B36"/>
      <c r="C36" s="87"/>
      <c r="D36" s="88"/>
      <c r="E36" s="88"/>
      <c r="F36" s="88"/>
      <c r="G36" s="89"/>
      <c r="H36" s="88"/>
      <c r="I36" s="88"/>
      <c r="J36" s="88"/>
      <c r="K36" s="88"/>
      <c r="L36" s="88"/>
      <c r="M36" s="88"/>
      <c r="N36" s="88"/>
      <c r="O36" s="88"/>
      <c r="P36" s="90"/>
      <c r="Q36" s="88"/>
      <c r="R36" s="88"/>
      <c r="S36" s="88"/>
      <c r="T36" s="88"/>
      <c r="U36" s="88"/>
      <c r="V36" s="536"/>
      <c r="W36" s="87"/>
      <c r="X36" s="525"/>
      <c r="Y36" s="522"/>
      <c r="Z36" s="246" t="s">
        <v>20</v>
      </c>
      <c r="AA36" s="355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  <c r="AQ36" s="356"/>
      <c r="AR36" s="356"/>
      <c r="AS36" s="356"/>
      <c r="AT36" s="357"/>
      <c r="AU36" s="355"/>
      <c r="AV36" s="356"/>
      <c r="AW36" s="356"/>
      <c r="AX36" s="356"/>
      <c r="AY36" s="356"/>
      <c r="AZ36" s="356"/>
      <c r="BA36" s="355"/>
      <c r="BB36" s="356"/>
      <c r="BC36" s="356"/>
      <c r="BD36" s="356"/>
      <c r="BE36" s="356"/>
      <c r="BF36" s="356"/>
      <c r="BG36" s="356"/>
      <c r="BH36" s="356"/>
      <c r="BI36" s="356"/>
      <c r="BJ36" s="356"/>
      <c r="BK36" s="356"/>
      <c r="BL36" s="358"/>
      <c r="BM36" s="585"/>
      <c r="BN36" s="111"/>
      <c r="BO36" s="112"/>
      <c r="BP36" s="112"/>
      <c r="BQ36" s="112"/>
      <c r="BR36" s="112"/>
      <c r="BS36" s="112"/>
      <c r="BT36" s="112"/>
      <c r="BU36" s="112"/>
      <c r="BV36" s="112"/>
      <c r="BW36" s="112"/>
      <c r="BX36" s="112"/>
      <c r="BY36" s="112"/>
      <c r="BZ36" s="112"/>
      <c r="CA36" s="112"/>
      <c r="CB36" s="112"/>
      <c r="CC36" s="112"/>
      <c r="CD36" s="112"/>
      <c r="CE36" s="112"/>
      <c r="CF36" s="112"/>
      <c r="CG36" s="113"/>
      <c r="CH36" s="114"/>
      <c r="CI36" s="112"/>
      <c r="CJ36" s="112"/>
      <c r="CK36" s="112"/>
      <c r="CL36" s="112"/>
      <c r="CM36" s="112"/>
      <c r="CN36" s="114"/>
      <c r="CO36" s="112"/>
      <c r="CP36" s="112"/>
      <c r="CQ36" s="112"/>
      <c r="CR36" s="112"/>
      <c r="CS36" s="112"/>
      <c r="CT36" s="150"/>
      <c r="CU36" s="246" t="s">
        <v>20</v>
      </c>
      <c r="CV36" s="111"/>
      <c r="CW36" s="112"/>
      <c r="CX36" s="112"/>
      <c r="CY36" s="112"/>
      <c r="CZ36" s="150"/>
    </row>
    <row r="37" spans="1:104" s="65" customFormat="1" ht="21.95" customHeight="1" thickBot="1" x14ac:dyDescent="0.35">
      <c r="A37" s="63" t="s">
        <v>21</v>
      </c>
      <c r="B37" s="64"/>
      <c r="C37" s="153" t="s">
        <v>135</v>
      </c>
      <c r="D37" s="154" t="s">
        <v>136</v>
      </c>
      <c r="E37" s="154" t="s">
        <v>137</v>
      </c>
      <c r="F37" s="154" t="s">
        <v>138</v>
      </c>
      <c r="G37" s="154" t="s">
        <v>139</v>
      </c>
      <c r="H37" s="154" t="s">
        <v>140</v>
      </c>
      <c r="I37" s="155" t="s">
        <v>141</v>
      </c>
      <c r="J37" s="154" t="s">
        <v>142</v>
      </c>
      <c r="K37" s="154" t="s">
        <v>143</v>
      </c>
      <c r="L37" s="154" t="s">
        <v>144</v>
      </c>
      <c r="M37" s="154" t="s">
        <v>145</v>
      </c>
      <c r="N37" s="154" t="s">
        <v>146</v>
      </c>
      <c r="O37" s="154" t="s">
        <v>147</v>
      </c>
      <c r="P37" s="154" t="s">
        <v>148</v>
      </c>
      <c r="Q37" s="154" t="s">
        <v>149</v>
      </c>
      <c r="R37" s="154" t="s">
        <v>150</v>
      </c>
      <c r="S37" s="154" t="s">
        <v>151</v>
      </c>
      <c r="T37" s="154" t="s">
        <v>152</v>
      </c>
      <c r="U37" s="154" t="s">
        <v>153</v>
      </c>
      <c r="V37" s="537" t="s">
        <v>154</v>
      </c>
      <c r="W37" s="543" t="s">
        <v>303</v>
      </c>
      <c r="X37" s="524" t="s">
        <v>304</v>
      </c>
      <c r="Y37" s="524" t="s">
        <v>305</v>
      </c>
      <c r="Z37" s="242" t="s">
        <v>21</v>
      </c>
      <c r="AA37" s="360" t="s">
        <v>22</v>
      </c>
      <c r="AB37" s="361" t="s">
        <v>23</v>
      </c>
      <c r="AC37" s="362" t="s">
        <v>42</v>
      </c>
      <c r="AD37" s="363" t="s">
        <v>24</v>
      </c>
      <c r="AE37" s="364" t="s">
        <v>25</v>
      </c>
      <c r="AF37" s="361" t="s">
        <v>26</v>
      </c>
      <c r="AG37" s="363" t="s">
        <v>27</v>
      </c>
      <c r="AH37" s="362" t="s">
        <v>43</v>
      </c>
      <c r="AI37" s="362" t="s">
        <v>44</v>
      </c>
      <c r="AJ37" s="365" t="s">
        <v>45</v>
      </c>
      <c r="AK37" s="363" t="s">
        <v>28</v>
      </c>
      <c r="AL37" s="363" t="s">
        <v>29</v>
      </c>
      <c r="AM37" s="363" t="s">
        <v>30</v>
      </c>
      <c r="AN37" s="362" t="s">
        <v>46</v>
      </c>
      <c r="AO37" s="363" t="s">
        <v>31</v>
      </c>
      <c r="AP37" s="366" t="s">
        <v>47</v>
      </c>
      <c r="AQ37" s="367" t="s">
        <v>32</v>
      </c>
      <c r="AR37" s="368" t="s">
        <v>48</v>
      </c>
      <c r="AS37" s="361" t="s">
        <v>33</v>
      </c>
      <c r="AT37" s="369" t="s">
        <v>34</v>
      </c>
      <c r="AU37" s="362" t="s">
        <v>49</v>
      </c>
      <c r="AV37" s="363" t="s">
        <v>35</v>
      </c>
      <c r="AW37" s="361" t="s">
        <v>36</v>
      </c>
      <c r="AX37" s="363" t="s">
        <v>37</v>
      </c>
      <c r="AY37" s="361" t="s">
        <v>38</v>
      </c>
      <c r="AZ37" s="363" t="s">
        <v>39</v>
      </c>
      <c r="BA37" s="363" t="s">
        <v>40</v>
      </c>
      <c r="BB37" s="370" t="s">
        <v>41</v>
      </c>
      <c r="BC37" s="361" t="s">
        <v>65</v>
      </c>
      <c r="BD37" s="371" t="s">
        <v>66</v>
      </c>
      <c r="BE37" s="372" t="s">
        <v>50</v>
      </c>
      <c r="BF37" s="371" t="s">
        <v>67</v>
      </c>
      <c r="BG37" s="371" t="s">
        <v>68</v>
      </c>
      <c r="BH37" s="371" t="s">
        <v>69</v>
      </c>
      <c r="BI37" s="371" t="s">
        <v>70</v>
      </c>
      <c r="BJ37" s="363" t="s">
        <v>182</v>
      </c>
      <c r="BK37" s="373" t="s">
        <v>78</v>
      </c>
      <c r="BL37" s="361" t="s">
        <v>71</v>
      </c>
      <c r="BM37" s="127" t="s">
        <v>79</v>
      </c>
      <c r="BN37" s="129" t="s">
        <v>72</v>
      </c>
      <c r="BO37" s="130" t="s">
        <v>80</v>
      </c>
      <c r="BP37" s="131" t="s">
        <v>81</v>
      </c>
      <c r="BQ37" s="131" t="s">
        <v>82</v>
      </c>
      <c r="BR37" s="132" t="s">
        <v>73</v>
      </c>
      <c r="BS37" s="133" t="s">
        <v>83</v>
      </c>
      <c r="BT37" s="130" t="s">
        <v>226</v>
      </c>
      <c r="BU37" s="132" t="s">
        <v>74</v>
      </c>
      <c r="BV37" s="132" t="s">
        <v>75</v>
      </c>
      <c r="BW37" s="131" t="s">
        <v>227</v>
      </c>
      <c r="BX37" s="134" t="s">
        <v>76</v>
      </c>
      <c r="BY37" s="135" t="s">
        <v>77</v>
      </c>
      <c r="BZ37" s="131" t="s">
        <v>228</v>
      </c>
      <c r="CA37" s="132" t="s">
        <v>229</v>
      </c>
      <c r="CB37" s="136" t="s">
        <v>230</v>
      </c>
      <c r="CC37" s="136" t="s">
        <v>231</v>
      </c>
      <c r="CD37" s="133" t="s">
        <v>94</v>
      </c>
      <c r="CE37" s="132" t="s">
        <v>232</v>
      </c>
      <c r="CF37" s="137" t="s">
        <v>233</v>
      </c>
      <c r="CG37" s="138" t="s">
        <v>95</v>
      </c>
      <c r="CH37" s="138" t="s">
        <v>96</v>
      </c>
      <c r="CI37" s="130" t="s">
        <v>97</v>
      </c>
      <c r="CJ37" s="132" t="s">
        <v>234</v>
      </c>
      <c r="CK37" s="132" t="s">
        <v>85</v>
      </c>
      <c r="CL37" s="132" t="s">
        <v>86</v>
      </c>
      <c r="CM37" s="132" t="s">
        <v>87</v>
      </c>
      <c r="CN37" s="131" t="s">
        <v>98</v>
      </c>
      <c r="CO37" s="132" t="s">
        <v>88</v>
      </c>
      <c r="CP37" s="132" t="s">
        <v>89</v>
      </c>
      <c r="CQ37" s="132" t="s">
        <v>90</v>
      </c>
      <c r="CR37" s="137" t="s">
        <v>91</v>
      </c>
      <c r="CS37" s="137" t="s">
        <v>92</v>
      </c>
      <c r="CT37" s="139" t="s">
        <v>93</v>
      </c>
      <c r="CU37" s="242" t="s">
        <v>21</v>
      </c>
      <c r="CV37" s="503" t="s">
        <v>298</v>
      </c>
      <c r="CW37" s="504" t="s">
        <v>299</v>
      </c>
      <c r="CX37" s="504" t="s">
        <v>300</v>
      </c>
      <c r="CY37" s="505" t="s">
        <v>301</v>
      </c>
      <c r="CZ37" s="506" t="s">
        <v>302</v>
      </c>
    </row>
    <row r="38" spans="1:104" s="5" customFormat="1" ht="35.1" customHeight="1" x14ac:dyDescent="0.3">
      <c r="A38" s="6" t="s">
        <v>51</v>
      </c>
      <c r="B38" s="22"/>
      <c r="C38" s="15" t="s">
        <v>64</v>
      </c>
      <c r="D38" s="16" t="s">
        <v>63</v>
      </c>
      <c r="E38" s="16" t="s">
        <v>63</v>
      </c>
      <c r="F38" s="16" t="s">
        <v>63</v>
      </c>
      <c r="G38" s="16" t="s">
        <v>63</v>
      </c>
      <c r="H38" s="16" t="s">
        <v>63</v>
      </c>
      <c r="I38" s="16" t="s">
        <v>63</v>
      </c>
      <c r="J38" s="16" t="s">
        <v>155</v>
      </c>
      <c r="K38" s="16" t="s">
        <v>63</v>
      </c>
      <c r="L38" s="16" t="s">
        <v>63</v>
      </c>
      <c r="M38" s="16" t="s">
        <v>63</v>
      </c>
      <c r="N38" s="16" t="s">
        <v>63</v>
      </c>
      <c r="O38" s="16" t="s">
        <v>63</v>
      </c>
      <c r="P38" s="16" t="s">
        <v>63</v>
      </c>
      <c r="Q38" s="16" t="s">
        <v>63</v>
      </c>
      <c r="R38" s="16" t="s">
        <v>63</v>
      </c>
      <c r="S38" s="16" t="s">
        <v>63</v>
      </c>
      <c r="T38" s="16" t="s">
        <v>63</v>
      </c>
      <c r="U38" s="16" t="s">
        <v>63</v>
      </c>
      <c r="V38" s="538" t="s">
        <v>63</v>
      </c>
      <c r="W38" s="15" t="s">
        <v>64</v>
      </c>
      <c r="X38" s="526" t="s">
        <v>64</v>
      </c>
      <c r="Y38" s="507" t="s">
        <v>64</v>
      </c>
      <c r="Z38" s="241" t="s">
        <v>51</v>
      </c>
      <c r="AA38" s="115" t="s">
        <v>100</v>
      </c>
      <c r="AB38" s="116" t="s">
        <v>52</v>
      </c>
      <c r="AC38" s="116" t="s">
        <v>183</v>
      </c>
      <c r="AD38" s="116" t="s">
        <v>53</v>
      </c>
      <c r="AE38" s="116" t="s">
        <v>184</v>
      </c>
      <c r="AF38" s="116" t="s">
        <v>53</v>
      </c>
      <c r="AG38" s="116" t="s">
        <v>52</v>
      </c>
      <c r="AH38" s="116" t="s">
        <v>185</v>
      </c>
      <c r="AI38" s="116" t="s">
        <v>185</v>
      </c>
      <c r="AJ38" s="116" t="s">
        <v>186</v>
      </c>
      <c r="AK38" s="116" t="s">
        <v>52</v>
      </c>
      <c r="AL38" s="116" t="s">
        <v>187</v>
      </c>
      <c r="AM38" s="116" t="s">
        <v>188</v>
      </c>
      <c r="AN38" s="116" t="s">
        <v>183</v>
      </c>
      <c r="AO38" s="116" t="s">
        <v>100</v>
      </c>
      <c r="AP38" s="116" t="s">
        <v>183</v>
      </c>
      <c r="AQ38" s="116" t="s">
        <v>189</v>
      </c>
      <c r="AR38" s="116" t="s">
        <v>183</v>
      </c>
      <c r="AS38" s="116" t="s">
        <v>100</v>
      </c>
      <c r="AT38" s="117" t="s">
        <v>189</v>
      </c>
      <c r="AU38" s="118" t="s">
        <v>185</v>
      </c>
      <c r="AV38" s="116" t="s">
        <v>184</v>
      </c>
      <c r="AW38" s="116" t="s">
        <v>53</v>
      </c>
      <c r="AX38" s="116" t="s">
        <v>190</v>
      </c>
      <c r="AY38" s="116" t="s">
        <v>52</v>
      </c>
      <c r="AZ38" s="116" t="s">
        <v>184</v>
      </c>
      <c r="BA38" s="118" t="s">
        <v>52</v>
      </c>
      <c r="BB38" s="116" t="s">
        <v>190</v>
      </c>
      <c r="BC38" s="116" t="s">
        <v>53</v>
      </c>
      <c r="BD38" s="116" t="s">
        <v>191</v>
      </c>
      <c r="BE38" s="116" t="s">
        <v>183</v>
      </c>
      <c r="BF38" s="116" t="s">
        <v>184</v>
      </c>
      <c r="BG38" s="116" t="s">
        <v>192</v>
      </c>
      <c r="BH38" s="116" t="s">
        <v>53</v>
      </c>
      <c r="BI38" s="116" t="s">
        <v>193</v>
      </c>
      <c r="BJ38" s="116" t="s">
        <v>53</v>
      </c>
      <c r="BK38" s="116" t="s">
        <v>186</v>
      </c>
      <c r="BL38" s="116" t="s">
        <v>184</v>
      </c>
      <c r="BM38" s="295" t="s">
        <v>194</v>
      </c>
      <c r="BN38" s="115" t="s">
        <v>191</v>
      </c>
      <c r="BO38" s="116" t="s">
        <v>183</v>
      </c>
      <c r="BP38" s="116" t="s">
        <v>185</v>
      </c>
      <c r="BQ38" s="116" t="s">
        <v>183</v>
      </c>
      <c r="BR38" s="116" t="s">
        <v>184</v>
      </c>
      <c r="BS38" s="116" t="s">
        <v>54</v>
      </c>
      <c r="BT38" s="116" t="s">
        <v>183</v>
      </c>
      <c r="BU38" s="116" t="s">
        <v>53</v>
      </c>
      <c r="BV38" s="116" t="s">
        <v>184</v>
      </c>
      <c r="BW38" s="116" t="s">
        <v>185</v>
      </c>
      <c r="BX38" s="116" t="s">
        <v>192</v>
      </c>
      <c r="BY38" s="116" t="s">
        <v>53</v>
      </c>
      <c r="BZ38" s="116" t="s">
        <v>183</v>
      </c>
      <c r="CA38" s="116" t="s">
        <v>238</v>
      </c>
      <c r="CB38" s="116" t="s">
        <v>54</v>
      </c>
      <c r="CC38" s="116" t="s">
        <v>236</v>
      </c>
      <c r="CD38" s="116" t="s">
        <v>54</v>
      </c>
      <c r="CE38" s="116" t="s">
        <v>100</v>
      </c>
      <c r="CF38" s="117" t="s">
        <v>52</v>
      </c>
      <c r="CG38" s="118" t="s">
        <v>185</v>
      </c>
      <c r="CH38" s="116" t="s">
        <v>185</v>
      </c>
      <c r="CI38" s="116" t="s">
        <v>185</v>
      </c>
      <c r="CJ38" s="116" t="s">
        <v>235</v>
      </c>
      <c r="CK38" s="116" t="s">
        <v>53</v>
      </c>
      <c r="CL38" s="116" t="s">
        <v>84</v>
      </c>
      <c r="CM38" s="118" t="s">
        <v>237</v>
      </c>
      <c r="CN38" s="116" t="s">
        <v>183</v>
      </c>
      <c r="CO38" s="116" t="s">
        <v>184</v>
      </c>
      <c r="CP38" s="116" t="s">
        <v>184</v>
      </c>
      <c r="CQ38" s="116" t="s">
        <v>184</v>
      </c>
      <c r="CR38" s="116" t="s">
        <v>100</v>
      </c>
      <c r="CS38" s="116" t="s">
        <v>191</v>
      </c>
      <c r="CT38" s="119" t="s">
        <v>53</v>
      </c>
      <c r="CU38" s="241" t="s">
        <v>51</v>
      </c>
      <c r="CV38" s="498" t="s">
        <v>292</v>
      </c>
      <c r="CW38" s="499" t="s">
        <v>293</v>
      </c>
      <c r="CX38" s="499" t="s">
        <v>294</v>
      </c>
      <c r="CY38" s="499" t="s">
        <v>295</v>
      </c>
      <c r="CZ38" s="500" t="s">
        <v>296</v>
      </c>
    </row>
    <row r="39" spans="1:104" s="5" customFormat="1" ht="30" hidden="1" customHeight="1" x14ac:dyDescent="0.3">
      <c r="A39" s="6" t="s">
        <v>161</v>
      </c>
      <c r="B39"/>
      <c r="C39" s="605" t="s">
        <v>166</v>
      </c>
      <c r="D39" s="606" t="s">
        <v>156</v>
      </c>
      <c r="E39" s="607" t="s">
        <v>164</v>
      </c>
      <c r="F39" s="606" t="s">
        <v>157</v>
      </c>
      <c r="G39" s="607" t="s">
        <v>165</v>
      </c>
      <c r="H39" s="606" t="s">
        <v>157</v>
      </c>
      <c r="I39" s="608" t="s">
        <v>158</v>
      </c>
      <c r="J39" s="608" t="s">
        <v>313</v>
      </c>
      <c r="K39" s="606" t="s">
        <v>159</v>
      </c>
      <c r="L39" s="607" t="s">
        <v>164</v>
      </c>
      <c r="M39" s="606" t="s">
        <v>158</v>
      </c>
      <c r="N39" s="607" t="s">
        <v>164</v>
      </c>
      <c r="O39" s="606" t="s">
        <v>157</v>
      </c>
      <c r="P39" s="606" t="s">
        <v>156</v>
      </c>
      <c r="Q39" s="608" t="s">
        <v>158</v>
      </c>
      <c r="R39" s="606" t="s">
        <v>157</v>
      </c>
      <c r="S39" s="606" t="s">
        <v>156</v>
      </c>
      <c r="T39" s="607" t="s">
        <v>162</v>
      </c>
      <c r="U39" s="607" t="s">
        <v>163</v>
      </c>
      <c r="V39" s="609" t="s">
        <v>160</v>
      </c>
      <c r="W39" s="610" t="s">
        <v>307</v>
      </c>
      <c r="X39" s="611" t="s">
        <v>308</v>
      </c>
      <c r="Y39" s="612" t="s">
        <v>309</v>
      </c>
      <c r="Z39" s="241" t="s">
        <v>161</v>
      </c>
      <c r="AA39" s="397"/>
      <c r="AB39" s="398"/>
      <c r="AC39" s="398"/>
      <c r="AD39" s="398"/>
      <c r="AE39" s="398"/>
      <c r="AF39" s="398"/>
      <c r="AG39" s="398"/>
      <c r="AH39" s="398"/>
      <c r="AI39" s="398"/>
      <c r="AJ39" s="398"/>
      <c r="AK39" s="398"/>
      <c r="AL39" s="398"/>
      <c r="AM39" s="398"/>
      <c r="AN39" s="398"/>
      <c r="AO39" s="398"/>
      <c r="AP39" s="398"/>
      <c r="AQ39" s="398"/>
      <c r="AR39" s="398"/>
      <c r="AS39" s="399"/>
      <c r="AT39" s="400"/>
      <c r="AU39" s="401"/>
      <c r="AV39" s="399"/>
      <c r="AW39" s="399"/>
      <c r="AX39" s="398"/>
      <c r="AY39" s="398"/>
      <c r="AZ39" s="398"/>
      <c r="BA39" s="402"/>
      <c r="BB39" s="398"/>
      <c r="BC39" s="398"/>
      <c r="BD39" s="398"/>
      <c r="BE39" s="398"/>
      <c r="BF39" s="398"/>
      <c r="BG39" s="398"/>
      <c r="BH39" s="398"/>
      <c r="BI39" s="398"/>
      <c r="BJ39" s="398"/>
      <c r="BK39" s="398"/>
      <c r="BL39" s="398"/>
      <c r="BM39" s="403"/>
      <c r="BN39" s="49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50"/>
      <c r="CF39" s="104"/>
      <c r="CG39" s="51"/>
      <c r="CH39" s="50"/>
      <c r="CI39" s="50"/>
      <c r="CJ39" s="43"/>
      <c r="CK39" s="43"/>
      <c r="CL39" s="43"/>
      <c r="CM39" s="42"/>
      <c r="CN39" s="43"/>
      <c r="CO39" s="43"/>
      <c r="CP39" s="43"/>
      <c r="CQ39" s="43"/>
      <c r="CR39" s="43"/>
      <c r="CS39" s="43"/>
      <c r="CT39" s="110"/>
      <c r="CU39" s="241" t="s">
        <v>161</v>
      </c>
      <c r="CV39" s="120"/>
      <c r="CW39" s="81"/>
      <c r="CX39" s="81"/>
      <c r="CY39" s="116"/>
      <c r="CZ39" s="295"/>
    </row>
    <row r="40" spans="1:104" s="2" customFormat="1" ht="30" hidden="1" customHeight="1" thickBot="1" x14ac:dyDescent="0.35">
      <c r="A40" s="20" t="s">
        <v>55</v>
      </c>
      <c r="B40"/>
      <c r="C40" s="413">
        <v>46065</v>
      </c>
      <c r="D40" s="73"/>
      <c r="E40" s="73"/>
      <c r="F40" s="73"/>
      <c r="G40" s="73"/>
      <c r="H40" s="73">
        <v>46062</v>
      </c>
      <c r="I40" s="73"/>
      <c r="J40" s="73"/>
      <c r="K40" s="73"/>
      <c r="L40" s="73"/>
      <c r="M40" s="73">
        <v>46091</v>
      </c>
      <c r="N40" s="73">
        <v>46063</v>
      </c>
      <c r="O40" s="73"/>
      <c r="P40" s="73"/>
      <c r="Q40" s="73">
        <v>46063</v>
      </c>
      <c r="R40" s="73"/>
      <c r="S40" s="414"/>
      <c r="T40" s="73"/>
      <c r="U40" s="73"/>
      <c r="V40" s="539"/>
      <c r="W40" s="413"/>
      <c r="X40" s="528"/>
      <c r="Y40" s="509"/>
      <c r="Z40" s="247" t="s">
        <v>55</v>
      </c>
      <c r="AA40" s="415">
        <v>46086</v>
      </c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>
        <v>46087</v>
      </c>
      <c r="AR40" s="416">
        <v>46097</v>
      </c>
      <c r="AS40" s="428"/>
      <c r="AT40" s="429"/>
      <c r="AU40" s="430">
        <v>46094</v>
      </c>
      <c r="AV40" s="428">
        <v>46109</v>
      </c>
      <c r="AW40" s="428"/>
      <c r="AX40" s="416">
        <v>46101</v>
      </c>
      <c r="AY40" s="416">
        <v>46101</v>
      </c>
      <c r="AZ40" s="416">
        <v>46107</v>
      </c>
      <c r="BA40" s="417">
        <v>46098</v>
      </c>
      <c r="BB40" s="416"/>
      <c r="BC40" s="416"/>
      <c r="BD40" s="416"/>
      <c r="BE40" s="416"/>
      <c r="BF40" s="416"/>
      <c r="BG40" s="416"/>
      <c r="BH40" s="416"/>
      <c r="BI40" s="416"/>
      <c r="BJ40" s="416"/>
      <c r="BK40" s="416"/>
      <c r="BL40" s="416"/>
      <c r="BM40" s="431"/>
      <c r="BN40" s="586" t="s">
        <v>241</v>
      </c>
      <c r="BO40" s="587" t="s">
        <v>196</v>
      </c>
      <c r="BP40" s="587" t="s">
        <v>239</v>
      </c>
      <c r="BQ40" s="587" t="s">
        <v>198</v>
      </c>
      <c r="BR40" s="587" t="s">
        <v>242</v>
      </c>
      <c r="BS40" s="587" t="s">
        <v>240</v>
      </c>
      <c r="BT40" s="587" t="s">
        <v>196</v>
      </c>
      <c r="BU40" s="587" t="s">
        <v>243</v>
      </c>
      <c r="BV40" s="587" t="s">
        <v>244</v>
      </c>
      <c r="BW40" s="587" t="s">
        <v>198</v>
      </c>
      <c r="BX40" s="587" t="s">
        <v>171</v>
      </c>
      <c r="BY40" s="587" t="s">
        <v>245</v>
      </c>
      <c r="BZ40" s="587" t="s">
        <v>198</v>
      </c>
      <c r="CA40" s="587" t="s">
        <v>209</v>
      </c>
      <c r="CB40" s="587" t="s">
        <v>197</v>
      </c>
      <c r="CC40" s="587" t="s">
        <v>199</v>
      </c>
      <c r="CD40" s="587" t="s">
        <v>195</v>
      </c>
      <c r="CE40" s="587" t="s">
        <v>214</v>
      </c>
      <c r="CF40" s="593" t="s">
        <v>243</v>
      </c>
      <c r="CG40" s="588" t="s">
        <v>198</v>
      </c>
      <c r="CH40" s="587" t="s">
        <v>196</v>
      </c>
      <c r="CI40" s="587" t="s">
        <v>239</v>
      </c>
      <c r="CJ40" s="587" t="s">
        <v>207</v>
      </c>
      <c r="CK40" s="587" t="s">
        <v>246</v>
      </c>
      <c r="CL40" s="587" t="s">
        <v>247</v>
      </c>
      <c r="CM40" s="588" t="s">
        <v>248</v>
      </c>
      <c r="CN40" s="587" t="s">
        <v>196</v>
      </c>
      <c r="CO40" s="587" t="s">
        <v>201</v>
      </c>
      <c r="CP40" s="587" t="s">
        <v>202</v>
      </c>
      <c r="CQ40" s="587" t="s">
        <v>215</v>
      </c>
      <c r="CR40" s="587" t="s">
        <v>212</v>
      </c>
      <c r="CS40" s="587" t="s">
        <v>213</v>
      </c>
      <c r="CT40" s="604" t="s">
        <v>179</v>
      </c>
      <c r="CU40" s="592" t="s">
        <v>57</v>
      </c>
      <c r="CV40" s="586" t="s">
        <v>247</v>
      </c>
      <c r="CW40" s="587" t="s">
        <v>297</v>
      </c>
      <c r="CX40" s="587" t="s">
        <v>174</v>
      </c>
      <c r="CY40" s="587" t="s">
        <v>179</v>
      </c>
      <c r="CZ40" s="594" t="s">
        <v>219</v>
      </c>
    </row>
    <row r="41" spans="1:104" s="2" customFormat="1" ht="30" hidden="1" customHeight="1" x14ac:dyDescent="0.3">
      <c r="A41" s="6" t="s">
        <v>56</v>
      </c>
      <c r="B41"/>
      <c r="C41" s="74" t="s">
        <v>274</v>
      </c>
      <c r="D41" s="75"/>
      <c r="E41" s="75"/>
      <c r="F41" s="75"/>
      <c r="G41" s="75"/>
      <c r="H41" s="75" t="s">
        <v>275</v>
      </c>
      <c r="I41" s="76"/>
      <c r="J41" s="75"/>
      <c r="K41" s="75"/>
      <c r="L41" s="75"/>
      <c r="M41" s="75" t="s">
        <v>280</v>
      </c>
      <c r="N41" s="75" t="s">
        <v>276</v>
      </c>
      <c r="O41" s="75"/>
      <c r="P41" s="75"/>
      <c r="Q41" s="75" t="s">
        <v>276</v>
      </c>
      <c r="R41" s="75"/>
      <c r="S41" s="75"/>
      <c r="T41" s="75"/>
      <c r="U41" s="77"/>
      <c r="V41" s="540"/>
      <c r="W41" s="74"/>
      <c r="X41" s="76"/>
      <c r="Y41" s="510"/>
      <c r="Z41" s="241" t="s">
        <v>56</v>
      </c>
      <c r="AA41" s="432" t="s">
        <v>278</v>
      </c>
      <c r="AB41" s="433"/>
      <c r="AC41" s="433"/>
      <c r="AD41" s="433"/>
      <c r="AE41" s="433"/>
      <c r="AF41" s="414"/>
      <c r="AG41" s="414"/>
      <c r="AH41" s="414"/>
      <c r="AI41" s="433"/>
      <c r="AJ41" s="434"/>
      <c r="AK41" s="433"/>
      <c r="AL41" s="433"/>
      <c r="AM41" s="433"/>
      <c r="AN41" s="433"/>
      <c r="AO41" s="433"/>
      <c r="AP41" s="433"/>
      <c r="AQ41" s="433" t="s">
        <v>279</v>
      </c>
      <c r="AR41" s="433" t="s">
        <v>281</v>
      </c>
      <c r="AS41" s="435"/>
      <c r="AT41" s="436"/>
      <c r="AU41" s="437" t="s">
        <v>281</v>
      </c>
      <c r="AV41" s="440" t="s">
        <v>285</v>
      </c>
      <c r="AW41" s="438"/>
      <c r="AX41" s="440" t="s">
        <v>283</v>
      </c>
      <c r="AY41" s="440" t="s">
        <v>283</v>
      </c>
      <c r="AZ41" s="440" t="s">
        <v>284</v>
      </c>
      <c r="BA41" s="440" t="s">
        <v>282</v>
      </c>
      <c r="BB41" s="433"/>
      <c r="BC41" s="433"/>
      <c r="BD41" s="433"/>
      <c r="BE41" s="433"/>
      <c r="BF41" s="433"/>
      <c r="BG41" s="433"/>
      <c r="BH41" s="433"/>
      <c r="BI41" s="433"/>
      <c r="BJ41" s="433"/>
      <c r="BK41" s="433"/>
      <c r="BL41" s="433"/>
      <c r="BM41" s="439"/>
    </row>
    <row r="42" spans="1:104" s="2" customFormat="1" ht="30" hidden="1" customHeight="1" x14ac:dyDescent="0.3">
      <c r="A42" s="61" t="s">
        <v>55</v>
      </c>
      <c r="B42"/>
      <c r="C42" s="74"/>
      <c r="D42" s="75"/>
      <c r="E42" s="78"/>
      <c r="F42" s="78"/>
      <c r="G42" s="75"/>
      <c r="H42" s="75"/>
      <c r="I42" s="78"/>
      <c r="J42" s="72"/>
      <c r="K42" s="72"/>
      <c r="L42" s="75"/>
      <c r="M42" s="75"/>
      <c r="N42" s="75"/>
      <c r="O42" s="75"/>
      <c r="P42" s="75"/>
      <c r="Q42" s="75"/>
      <c r="R42" s="75"/>
      <c r="S42" s="75"/>
      <c r="T42" s="75"/>
      <c r="U42" s="77"/>
      <c r="V42" s="540"/>
      <c r="W42" s="74"/>
      <c r="X42" s="76"/>
      <c r="Y42" s="510"/>
      <c r="Z42" s="248" t="s">
        <v>55</v>
      </c>
      <c r="AA42" s="404"/>
      <c r="AB42" s="405"/>
      <c r="AC42" s="405"/>
      <c r="AD42" s="405"/>
      <c r="AE42" s="405"/>
      <c r="AF42" s="405"/>
      <c r="AG42" s="406"/>
      <c r="AH42" s="405"/>
      <c r="AI42" s="405"/>
      <c r="AJ42" s="405"/>
      <c r="AK42" s="405"/>
      <c r="AL42" s="405"/>
      <c r="AM42" s="405"/>
      <c r="AN42" s="405"/>
      <c r="AO42" s="405"/>
      <c r="AP42" s="405"/>
      <c r="AQ42" s="405"/>
      <c r="AR42" s="405"/>
      <c r="AS42" s="407"/>
      <c r="AT42" s="408"/>
      <c r="AU42" s="409"/>
      <c r="AV42" s="407"/>
      <c r="AW42" s="410"/>
      <c r="AX42" s="405"/>
      <c r="AY42" s="405"/>
      <c r="AZ42" s="405"/>
      <c r="BA42" s="411"/>
      <c r="BB42" s="405"/>
      <c r="BC42" s="405"/>
      <c r="BD42" s="405"/>
      <c r="BE42" s="405"/>
      <c r="BF42" s="405"/>
      <c r="BG42" s="405"/>
      <c r="BH42" s="405"/>
      <c r="BI42" s="405"/>
      <c r="BJ42" s="405"/>
      <c r="BK42" s="405"/>
      <c r="BL42" s="405"/>
      <c r="BM42" s="412"/>
    </row>
    <row r="43" spans="1:104" s="2" customFormat="1" ht="30" hidden="1" customHeight="1" x14ac:dyDescent="0.3">
      <c r="A43" s="62" t="s">
        <v>56</v>
      </c>
      <c r="B43"/>
      <c r="C43" s="74"/>
      <c r="D43" s="75"/>
      <c r="E43" s="79"/>
      <c r="F43" s="79"/>
      <c r="G43" s="75"/>
      <c r="H43" s="75"/>
      <c r="I43" s="79"/>
      <c r="J43" s="76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7"/>
      <c r="V43" s="540"/>
      <c r="W43" s="74"/>
      <c r="X43" s="76"/>
      <c r="Y43" s="510"/>
      <c r="Z43" s="249" t="s">
        <v>56</v>
      </c>
      <c r="AA43" s="404"/>
      <c r="AB43" s="405"/>
      <c r="AC43" s="405"/>
      <c r="AD43" s="405"/>
      <c r="AE43" s="405"/>
      <c r="AF43" s="405"/>
      <c r="AG43" s="406"/>
      <c r="AH43" s="405"/>
      <c r="AI43" s="405"/>
      <c r="AJ43" s="405"/>
      <c r="AK43" s="405"/>
      <c r="AL43" s="405"/>
      <c r="AM43" s="405"/>
      <c r="AN43" s="405"/>
      <c r="AO43" s="405"/>
      <c r="AP43" s="405"/>
      <c r="AQ43" s="405"/>
      <c r="AR43" s="405"/>
      <c r="AS43" s="407"/>
      <c r="AT43" s="408"/>
      <c r="AU43" s="409"/>
      <c r="AV43" s="407"/>
      <c r="AW43" s="410"/>
      <c r="AX43" s="405"/>
      <c r="AY43" s="405"/>
      <c r="AZ43" s="405"/>
      <c r="BA43" s="411"/>
      <c r="BB43" s="405"/>
      <c r="BC43" s="405"/>
      <c r="BD43" s="405"/>
      <c r="BE43" s="405"/>
      <c r="BF43" s="405"/>
      <c r="BG43" s="405"/>
      <c r="BH43" s="405"/>
      <c r="BI43" s="405"/>
      <c r="BJ43" s="405"/>
      <c r="BK43" s="405"/>
      <c r="BL43" s="405"/>
      <c r="BM43" s="412"/>
    </row>
    <row r="44" spans="1:104" s="5" customFormat="1" ht="30" customHeight="1" thickBot="1" x14ac:dyDescent="0.35">
      <c r="A44" s="6" t="s">
        <v>57</v>
      </c>
      <c r="B44"/>
      <c r="C44" s="586" t="s">
        <v>168</v>
      </c>
      <c r="D44" s="587" t="s">
        <v>168</v>
      </c>
      <c r="E44" s="587" t="s">
        <v>169</v>
      </c>
      <c r="F44" s="587" t="s">
        <v>170</v>
      </c>
      <c r="G44" s="587" t="s">
        <v>171</v>
      </c>
      <c r="H44" s="587" t="s">
        <v>172</v>
      </c>
      <c r="I44" s="588" t="s">
        <v>173</v>
      </c>
      <c r="J44" s="587" t="s">
        <v>174</v>
      </c>
      <c r="K44" s="587" t="s">
        <v>173</v>
      </c>
      <c r="L44" s="587" t="s">
        <v>172</v>
      </c>
      <c r="M44" s="587" t="s">
        <v>173</v>
      </c>
      <c r="N44" s="587" t="s">
        <v>175</v>
      </c>
      <c r="O44" s="587" t="s">
        <v>175</v>
      </c>
      <c r="P44" s="587" t="s">
        <v>176</v>
      </c>
      <c r="Q44" s="587" t="s">
        <v>177</v>
      </c>
      <c r="R44" s="587" t="s">
        <v>178</v>
      </c>
      <c r="S44" s="587" t="s">
        <v>176</v>
      </c>
      <c r="T44" s="587" t="s">
        <v>172</v>
      </c>
      <c r="U44" s="589" t="s">
        <v>172</v>
      </c>
      <c r="V44" s="590" t="s">
        <v>179</v>
      </c>
      <c r="W44" s="586" t="s">
        <v>171</v>
      </c>
      <c r="X44" s="588" t="s">
        <v>179</v>
      </c>
      <c r="Y44" s="591" t="s">
        <v>306</v>
      </c>
      <c r="Z44" s="592" t="s">
        <v>57</v>
      </c>
      <c r="AA44" s="586" t="s">
        <v>200</v>
      </c>
      <c r="AB44" s="587" t="s">
        <v>201</v>
      </c>
      <c r="AC44" s="587" t="s">
        <v>195</v>
      </c>
      <c r="AD44" s="587" t="s">
        <v>202</v>
      </c>
      <c r="AE44" s="587" t="s">
        <v>203</v>
      </c>
      <c r="AF44" s="587" t="s">
        <v>204</v>
      </c>
      <c r="AG44" s="587" t="s">
        <v>205</v>
      </c>
      <c r="AH44" s="587" t="s">
        <v>206</v>
      </c>
      <c r="AI44" s="587" t="s">
        <v>196</v>
      </c>
      <c r="AJ44" s="587" t="s">
        <v>197</v>
      </c>
      <c r="AK44" s="587" t="s">
        <v>207</v>
      </c>
      <c r="AL44" s="587" t="s">
        <v>174</v>
      </c>
      <c r="AM44" s="587" t="s">
        <v>208</v>
      </c>
      <c r="AN44" s="587" t="s">
        <v>209</v>
      </c>
      <c r="AO44" s="587" t="s">
        <v>210</v>
      </c>
      <c r="AP44" s="587" t="s">
        <v>211</v>
      </c>
      <c r="AQ44" s="587" t="s">
        <v>212</v>
      </c>
      <c r="AR44" s="587" t="s">
        <v>196</v>
      </c>
      <c r="AS44" s="587" t="s">
        <v>213</v>
      </c>
      <c r="AT44" s="593" t="s">
        <v>214</v>
      </c>
      <c r="AU44" s="588" t="s">
        <v>196</v>
      </c>
      <c r="AV44" s="587" t="s">
        <v>207</v>
      </c>
      <c r="AW44" s="587" t="s">
        <v>215</v>
      </c>
      <c r="AX44" s="587" t="s">
        <v>216</v>
      </c>
      <c r="AY44" s="587" t="s">
        <v>216</v>
      </c>
      <c r="AZ44" s="587" t="s">
        <v>210</v>
      </c>
      <c r="BA44" s="588" t="s">
        <v>203</v>
      </c>
      <c r="BB44" s="587" t="s">
        <v>200</v>
      </c>
      <c r="BC44" s="587" t="s">
        <v>217</v>
      </c>
      <c r="BD44" s="587" t="s">
        <v>179</v>
      </c>
      <c r="BE44" s="587" t="s">
        <v>196</v>
      </c>
      <c r="BF44" s="587" t="s">
        <v>218</v>
      </c>
      <c r="BG44" s="587" t="s">
        <v>219</v>
      </c>
      <c r="BH44" s="587" t="s">
        <v>220</v>
      </c>
      <c r="BI44" s="587" t="s">
        <v>221</v>
      </c>
      <c r="BJ44" s="587" t="s">
        <v>222</v>
      </c>
      <c r="BK44" s="587" t="s">
        <v>199</v>
      </c>
      <c r="BL44" s="587" t="s">
        <v>210</v>
      </c>
      <c r="BM44" s="594" t="s">
        <v>198</v>
      </c>
      <c r="BN44" s="586" t="s">
        <v>241</v>
      </c>
      <c r="BO44" s="587" t="s">
        <v>196</v>
      </c>
      <c r="BP44" s="587" t="s">
        <v>239</v>
      </c>
      <c r="BQ44" s="587" t="s">
        <v>198</v>
      </c>
      <c r="BR44" s="587" t="s">
        <v>242</v>
      </c>
      <c r="BS44" s="587" t="s">
        <v>240</v>
      </c>
      <c r="BT44" s="587" t="s">
        <v>196</v>
      </c>
      <c r="BU44" s="587" t="s">
        <v>243</v>
      </c>
      <c r="BV44" s="587" t="s">
        <v>244</v>
      </c>
      <c r="BW44" s="587" t="s">
        <v>198</v>
      </c>
      <c r="BX44" s="587" t="s">
        <v>171</v>
      </c>
      <c r="BY44" s="587" t="s">
        <v>245</v>
      </c>
      <c r="BZ44" s="587" t="s">
        <v>198</v>
      </c>
      <c r="CA44" s="587" t="s">
        <v>209</v>
      </c>
      <c r="CB44" s="587" t="s">
        <v>197</v>
      </c>
      <c r="CC44" s="587" t="s">
        <v>199</v>
      </c>
      <c r="CD44" s="587" t="s">
        <v>195</v>
      </c>
      <c r="CE44" s="587" t="s">
        <v>214</v>
      </c>
      <c r="CF44" s="593" t="s">
        <v>243</v>
      </c>
      <c r="CG44" s="588" t="s">
        <v>198</v>
      </c>
      <c r="CH44" s="587" t="s">
        <v>196</v>
      </c>
      <c r="CI44" s="587" t="s">
        <v>239</v>
      </c>
      <c r="CJ44" s="587" t="s">
        <v>207</v>
      </c>
      <c r="CK44" s="587" t="s">
        <v>246</v>
      </c>
      <c r="CL44" s="587" t="s">
        <v>247</v>
      </c>
      <c r="CM44" s="588" t="s">
        <v>248</v>
      </c>
      <c r="CN44" s="587" t="s">
        <v>196</v>
      </c>
      <c r="CO44" s="587" t="s">
        <v>201</v>
      </c>
      <c r="CP44" s="587" t="s">
        <v>202</v>
      </c>
      <c r="CQ44" s="587" t="s">
        <v>215</v>
      </c>
      <c r="CR44" s="587" t="s">
        <v>212</v>
      </c>
      <c r="CS44" s="587" t="s">
        <v>213</v>
      </c>
      <c r="CT44" s="604" t="s">
        <v>179</v>
      </c>
      <c r="CU44" s="592" t="s">
        <v>57</v>
      </c>
      <c r="CV44" s="586" t="s">
        <v>247</v>
      </c>
      <c r="CW44" s="587" t="s">
        <v>297</v>
      </c>
      <c r="CX44" s="587" t="s">
        <v>174</v>
      </c>
      <c r="CY44" s="587" t="s">
        <v>179</v>
      </c>
      <c r="CZ44" s="594" t="s">
        <v>219</v>
      </c>
    </row>
    <row r="45" spans="1:104" s="52" customFormat="1" ht="30" hidden="1" customHeight="1" x14ac:dyDescent="0.3">
      <c r="A45" s="47" t="s">
        <v>58</v>
      </c>
      <c r="B45" s="48"/>
      <c r="C45" s="49"/>
      <c r="D45" s="43"/>
      <c r="E45" s="43"/>
      <c r="F45" s="43"/>
      <c r="G45" s="398"/>
      <c r="H45" s="43"/>
      <c r="I45" s="42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50"/>
      <c r="V45" s="581"/>
      <c r="W45" s="49"/>
      <c r="X45" s="42"/>
      <c r="Y45" s="582"/>
      <c r="Z45" s="583" t="s">
        <v>58</v>
      </c>
      <c r="AA45" s="49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50"/>
      <c r="AT45" s="104"/>
      <c r="AU45" s="51"/>
      <c r="AV45" s="50"/>
      <c r="AW45" s="50"/>
      <c r="AX45" s="43"/>
      <c r="AY45" s="43"/>
      <c r="AZ45" s="43"/>
      <c r="BA45" s="42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302"/>
      <c r="BP45" s="375"/>
    </row>
    <row r="46" spans="1:104" s="52" customFormat="1" ht="30" hidden="1" customHeight="1" x14ac:dyDescent="0.3">
      <c r="A46" s="53" t="s">
        <v>59</v>
      </c>
      <c r="B46" s="48"/>
      <c r="C46" s="31"/>
      <c r="D46" s="32"/>
      <c r="E46" s="32"/>
      <c r="F46" s="60"/>
      <c r="G46" s="32"/>
      <c r="H46" s="33"/>
      <c r="I46" s="34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45"/>
      <c r="V46" s="541"/>
      <c r="W46" s="31"/>
      <c r="X46" s="34"/>
      <c r="Y46" s="513"/>
      <c r="Z46" s="251" t="s">
        <v>59</v>
      </c>
      <c r="AA46" s="49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50"/>
      <c r="AT46" s="104"/>
      <c r="AU46" s="51"/>
      <c r="AV46" s="50"/>
      <c r="AW46" s="50"/>
      <c r="AX46" s="43"/>
      <c r="AY46" s="43"/>
      <c r="AZ46" s="43"/>
      <c r="BA46" s="42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302"/>
      <c r="BP46" s="375"/>
    </row>
    <row r="47" spans="1:104" s="52" customFormat="1" ht="30" hidden="1" customHeight="1" thickBot="1" x14ac:dyDescent="0.35">
      <c r="A47" s="54" t="s">
        <v>60</v>
      </c>
      <c r="B47" s="48"/>
      <c r="C47" s="35"/>
      <c r="D47" s="36"/>
      <c r="E47" s="36"/>
      <c r="F47" s="37"/>
      <c r="G47" s="36"/>
      <c r="H47" s="38"/>
      <c r="I47" s="39"/>
      <c r="J47" s="38"/>
      <c r="K47" s="38"/>
      <c r="L47" s="38"/>
      <c r="M47" s="36"/>
      <c r="N47" s="36"/>
      <c r="O47" s="36"/>
      <c r="P47" s="36"/>
      <c r="Q47" s="36"/>
      <c r="R47" s="37"/>
      <c r="S47" s="36"/>
      <c r="T47" s="38"/>
      <c r="U47" s="46"/>
      <c r="V47" s="542"/>
      <c r="W47" s="35"/>
      <c r="X47" s="39"/>
      <c r="Y47" s="514"/>
      <c r="Z47" s="252" t="s">
        <v>60</v>
      </c>
      <c r="AA47" s="376"/>
      <c r="AB47" s="377"/>
      <c r="AC47" s="377"/>
      <c r="AD47" s="377"/>
      <c r="AE47" s="377"/>
      <c r="AF47" s="377"/>
      <c r="AG47" s="377"/>
      <c r="AH47" s="377"/>
      <c r="AI47" s="377"/>
      <c r="AJ47" s="377"/>
      <c r="AK47" s="377"/>
      <c r="AL47" s="377"/>
      <c r="AM47" s="377"/>
      <c r="AN47" s="377"/>
      <c r="AO47" s="377"/>
      <c r="AP47" s="377"/>
      <c r="AQ47" s="377"/>
      <c r="AR47" s="377"/>
      <c r="AS47" s="55"/>
      <c r="AT47" s="105"/>
      <c r="AU47" s="56"/>
      <c r="AV47" s="55"/>
      <c r="AW47" s="55"/>
      <c r="AX47" s="377"/>
      <c r="AY47" s="377"/>
      <c r="AZ47" s="377"/>
      <c r="BA47" s="378"/>
      <c r="BB47" s="377"/>
      <c r="BC47" s="377"/>
      <c r="BD47" s="377"/>
      <c r="BE47" s="377"/>
      <c r="BF47" s="377"/>
      <c r="BG47" s="377"/>
      <c r="BH47" s="377"/>
      <c r="BI47" s="377"/>
      <c r="BJ47" s="377"/>
      <c r="BK47" s="377"/>
      <c r="BL47" s="377"/>
      <c r="BM47" s="379"/>
      <c r="BP47" s="375"/>
    </row>
    <row r="48" spans="1:104" s="2" customFormat="1" ht="21.95" customHeight="1" x14ac:dyDescent="0.3">
      <c r="A48" s="21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s="12"/>
      <c r="BH48" s="12"/>
      <c r="BI48" s="12"/>
      <c r="BJ48" s="12"/>
    </row>
  </sheetData>
  <mergeCells count="34">
    <mergeCell ref="BN4:BR4"/>
    <mergeCell ref="BS4:BY4"/>
    <mergeCell ref="BZ4:CI4"/>
    <mergeCell ref="CJ4:CT4"/>
    <mergeCell ref="CV4:CZ4"/>
    <mergeCell ref="C29:F34"/>
    <mergeCell ref="H29:H34"/>
    <mergeCell ref="K29:L34"/>
    <mergeCell ref="N29:P34"/>
    <mergeCell ref="R29:T34"/>
    <mergeCell ref="V29:V30"/>
    <mergeCell ref="W32:W34"/>
    <mergeCell ref="U31:V34"/>
    <mergeCell ref="Y29:Y34"/>
    <mergeCell ref="A1:A2"/>
    <mergeCell ref="C1:K2"/>
    <mergeCell ref="L1:AO1"/>
    <mergeCell ref="L2:AO2"/>
    <mergeCell ref="AB4:AG4"/>
    <mergeCell ref="AH4:AL4"/>
    <mergeCell ref="AM4:AO4"/>
    <mergeCell ref="C24:C26"/>
    <mergeCell ref="S24:S26"/>
    <mergeCell ref="X24:X26"/>
    <mergeCell ref="G30:G31"/>
    <mergeCell ref="I30:I31"/>
    <mergeCell ref="J30:J31"/>
    <mergeCell ref="M30:M31"/>
    <mergeCell ref="Q30:Q31"/>
    <mergeCell ref="AP4:AS4"/>
    <mergeCell ref="AT4:BA4"/>
    <mergeCell ref="BB4:BC4"/>
    <mergeCell ref="BD4:BM4"/>
    <mergeCell ref="AA6:AA8"/>
  </mergeCells>
  <phoneticPr fontId="3" type="noConversion"/>
  <conditionalFormatting sqref="A1">
    <cfRule type="cellIs" dxfId="458" priority="683" operator="equal">
      <formula>"C"</formula>
    </cfRule>
  </conditionalFormatting>
  <conditionalFormatting sqref="A3">
    <cfRule type="cellIs" dxfId="457" priority="684" operator="equal">
      <formula>"P"</formula>
    </cfRule>
  </conditionalFormatting>
  <conditionalFormatting sqref="A5:A48">
    <cfRule type="cellIs" dxfId="456" priority="460" operator="equal">
      <formula>"C"</formula>
    </cfRule>
    <cfRule type="cellIs" dxfId="455" priority="461" operator="equal">
      <formula>"P"</formula>
    </cfRule>
  </conditionalFormatting>
  <conditionalFormatting sqref="A1:C1 B2">
    <cfRule type="cellIs" dxfId="454" priority="682" operator="equal">
      <formula>"P"</formula>
    </cfRule>
  </conditionalFormatting>
  <conditionalFormatting sqref="A4:Y4">
    <cfRule type="cellIs" dxfId="453" priority="617" operator="equal">
      <formula>"C"</formula>
    </cfRule>
    <cfRule type="cellIs" dxfId="452" priority="618" operator="equal">
      <formula>"P"</formula>
    </cfRule>
  </conditionalFormatting>
  <conditionalFormatting sqref="B1:B2 A3">
    <cfRule type="cellIs" dxfId="451" priority="690" operator="equal">
      <formula>"C"</formula>
    </cfRule>
  </conditionalFormatting>
  <conditionalFormatting sqref="C1">
    <cfRule type="cellIs" dxfId="450" priority="689" operator="equal">
      <formula>"C"</formula>
    </cfRule>
  </conditionalFormatting>
  <conditionalFormatting sqref="C37:E38">
    <cfRule type="cellIs" dxfId="443" priority="656" operator="equal">
      <formula>"C"</formula>
    </cfRule>
    <cfRule type="cellIs" dxfId="442" priority="657" operator="equal">
      <formula>"P"</formula>
    </cfRule>
  </conditionalFormatting>
  <conditionalFormatting sqref="C44:E47">
    <cfRule type="cellIs" dxfId="441" priority="672" operator="equal">
      <formula>"C"</formula>
    </cfRule>
    <cfRule type="cellIs" dxfId="440" priority="673" operator="equal">
      <formula>"P"</formula>
    </cfRule>
  </conditionalFormatting>
  <conditionalFormatting sqref="C36:H39">
    <cfRule type="cellIs" dxfId="439" priority="639" operator="equal">
      <formula>"C"</formula>
    </cfRule>
    <cfRule type="cellIs" dxfId="438" priority="640" operator="equal">
      <formula>"P"</formula>
    </cfRule>
  </conditionalFormatting>
  <conditionalFormatting sqref="C45:H45">
    <cfRule type="cellIs" dxfId="437" priority="676" operator="equal">
      <formula>"C"</formula>
    </cfRule>
    <cfRule type="cellIs" dxfId="436" priority="677" operator="equal">
      <formula>"P"</formula>
    </cfRule>
  </conditionalFormatting>
  <conditionalFormatting sqref="C35:Y35">
    <cfRule type="cellIs" dxfId="433" priority="648" operator="equal">
      <formula>"C"</formula>
    </cfRule>
    <cfRule type="cellIs" dxfId="432" priority="649" operator="equal">
      <formula>"P"</formula>
    </cfRule>
    <cfRule type="dataBar" priority="69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{AC6C917C-257C-4B24-BD7A-5DDFFEA38F97}</x14:id>
        </ext>
      </extLst>
    </cfRule>
    <cfRule type="dataBar" priority="692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{861A9C6E-D953-4205-A4A4-56E0A701F6E4}</x14:id>
        </ext>
      </extLst>
    </cfRule>
  </conditionalFormatting>
  <conditionalFormatting sqref="C47:Y47">
    <cfRule type="cellIs" dxfId="431" priority="674" operator="equal">
      <formula>"C"</formula>
    </cfRule>
    <cfRule type="cellIs" dxfId="430" priority="675" operator="equal">
      <formula>"P"</formula>
    </cfRule>
  </conditionalFormatting>
  <conditionalFormatting sqref="E43:F43">
    <cfRule type="cellIs" dxfId="420" priority="627" operator="equal">
      <formula>"C"</formula>
    </cfRule>
    <cfRule type="cellIs" dxfId="419" priority="628" operator="equal">
      <formula>"P"</formula>
    </cfRule>
  </conditionalFormatting>
  <conditionalFormatting sqref="E41:G41 G42:G43">
    <cfRule type="cellIs" dxfId="418" priority="678" operator="equal">
      <formula>"C"</formula>
    </cfRule>
    <cfRule type="cellIs" dxfId="417" priority="679" operator="equal">
      <formula>"P"</formula>
    </cfRule>
  </conditionalFormatting>
  <conditionalFormatting sqref="E37:H39">
    <cfRule type="cellIs" dxfId="416" priority="637" operator="equal">
      <formula>"C"</formula>
    </cfRule>
    <cfRule type="cellIs" dxfId="415" priority="638" operator="equal">
      <formula>"P"</formula>
    </cfRule>
  </conditionalFormatting>
  <conditionalFormatting sqref="F44:F46">
    <cfRule type="cellIs" dxfId="414" priority="629" operator="equal">
      <formula>"C"</formula>
    </cfRule>
    <cfRule type="cellIs" dxfId="413" priority="630" operator="equal">
      <formula>"P"</formula>
    </cfRule>
  </conditionalFormatting>
  <conditionalFormatting sqref="F39:J39">
    <cfRule type="cellIs" dxfId="410" priority="635" operator="equal">
      <formula>"C"</formula>
    </cfRule>
    <cfRule type="cellIs" dxfId="409" priority="636" operator="equal">
      <formula>"P"</formula>
    </cfRule>
  </conditionalFormatting>
  <conditionalFormatting sqref="G44:Q47 S44:T47">
    <cfRule type="cellIs" dxfId="406" priority="666" operator="equal">
      <formula>"C"</formula>
    </cfRule>
    <cfRule type="cellIs" dxfId="405" priority="667" operator="equal">
      <formula>"P"</formula>
    </cfRule>
  </conditionalFormatting>
  <conditionalFormatting sqref="H41:H43">
    <cfRule type="cellIs" dxfId="404" priority="680" operator="equal">
      <formula>"C"</formula>
    </cfRule>
    <cfRule type="cellIs" dxfId="403" priority="681" operator="equal">
      <formula>"P"</formula>
    </cfRule>
  </conditionalFormatting>
  <conditionalFormatting sqref="I30">
    <cfRule type="cellIs" dxfId="400" priority="577" operator="equal">
      <formula>"C"</formula>
    </cfRule>
    <cfRule type="cellIs" dxfId="399" priority="578" operator="equal">
      <formula>"P"</formula>
    </cfRule>
  </conditionalFormatting>
  <conditionalFormatting sqref="I33">
    <cfRule type="cellIs" dxfId="398" priority="623" operator="equal">
      <formula>"C"</formula>
    </cfRule>
    <cfRule type="cellIs" dxfId="397" priority="624" operator="equal">
      <formula>"P"</formula>
    </cfRule>
  </conditionalFormatting>
  <conditionalFormatting sqref="I43">
    <cfRule type="cellIs" dxfId="396" priority="625" operator="equal">
      <formula>"C"</formula>
    </cfRule>
    <cfRule type="cellIs" dxfId="395" priority="626" operator="equal">
      <formula>"P"</formula>
    </cfRule>
  </conditionalFormatting>
  <conditionalFormatting sqref="I36:J38">
    <cfRule type="cellIs" dxfId="392" priority="662" operator="equal">
      <formula>"C"</formula>
    </cfRule>
    <cfRule type="cellIs" dxfId="391" priority="663" operator="equal">
      <formula>"P"</formula>
    </cfRule>
  </conditionalFormatting>
  <conditionalFormatting sqref="I37:Y38">
    <cfRule type="cellIs" dxfId="390" priority="654" operator="equal">
      <formula>"C"</formula>
    </cfRule>
    <cfRule type="cellIs" dxfId="389" priority="655" operator="equal">
      <formula>"P"</formula>
    </cfRule>
  </conditionalFormatting>
  <conditionalFormatting sqref="J27">
    <cfRule type="cellIs" dxfId="388" priority="575" operator="equal">
      <formula>"C"</formula>
    </cfRule>
    <cfRule type="cellIs" dxfId="387" priority="576" operator="equal">
      <formula>"P"</formula>
    </cfRule>
  </conditionalFormatting>
  <conditionalFormatting sqref="K36:L39">
    <cfRule type="cellIs" dxfId="382" priority="633" operator="equal">
      <formula>"C"</formula>
    </cfRule>
    <cfRule type="cellIs" dxfId="381" priority="634" operator="equal">
      <formula>"P"</formula>
    </cfRule>
  </conditionalFormatting>
  <conditionalFormatting sqref="L1:L2">
    <cfRule type="cellIs" dxfId="380" priority="687" operator="equal">
      <formula>"C"</formula>
    </cfRule>
    <cfRule type="cellIs" dxfId="379" priority="688" operator="equal">
      <formula>"P"</formula>
    </cfRule>
  </conditionalFormatting>
  <conditionalFormatting sqref="M27">
    <cfRule type="cellIs" dxfId="376" priority="571" operator="equal">
      <formula>"C"</formula>
    </cfRule>
    <cfRule type="cellIs" dxfId="375" priority="572" operator="equal">
      <formula>"P"</formula>
    </cfRule>
  </conditionalFormatting>
  <conditionalFormatting sqref="M33">
    <cfRule type="cellIs" dxfId="374" priority="249" operator="equal">
      <formula>"C"</formula>
    </cfRule>
    <cfRule type="cellIs" dxfId="373" priority="250" operator="equal">
      <formula>"P"</formula>
    </cfRule>
  </conditionalFormatting>
  <conditionalFormatting sqref="M36:O38">
    <cfRule type="cellIs" dxfId="370" priority="660" operator="equal">
      <formula>"C"</formula>
    </cfRule>
    <cfRule type="cellIs" dxfId="369" priority="661" operator="equal">
      <formula>"P"</formula>
    </cfRule>
  </conditionalFormatting>
  <conditionalFormatting sqref="M39:Y39">
    <cfRule type="cellIs" dxfId="368" priority="631" operator="equal">
      <formula>"C"</formula>
    </cfRule>
    <cfRule type="cellIs" dxfId="367" priority="632" operator="equal">
      <formula>"P"</formula>
    </cfRule>
  </conditionalFormatting>
  <conditionalFormatting sqref="N45:T47">
    <cfRule type="cellIs" dxfId="364" priority="670" operator="equal">
      <formula>"C"</formula>
    </cfRule>
    <cfRule type="cellIs" dxfId="363" priority="671" operator="equal">
      <formula>"P"</formula>
    </cfRule>
  </conditionalFormatting>
  <conditionalFormatting sqref="Q33">
    <cfRule type="cellIs" dxfId="358" priority="613" operator="equal">
      <formula>"C"</formula>
    </cfRule>
    <cfRule type="cellIs" dxfId="357" priority="614" operator="equal">
      <formula>"P"</formula>
    </cfRule>
  </conditionalFormatting>
  <conditionalFormatting sqref="Q36:Y38">
    <cfRule type="cellIs" dxfId="356" priority="658" operator="equal">
      <formula>"C"</formula>
    </cfRule>
    <cfRule type="cellIs" dxfId="355" priority="659" operator="equal">
      <formula>"P"</formula>
    </cfRule>
  </conditionalFormatting>
  <conditionalFormatting sqref="R44:R45">
    <cfRule type="cellIs" dxfId="354" priority="668" operator="equal">
      <formula>"C"</formula>
    </cfRule>
    <cfRule type="cellIs" dxfId="353" priority="669" operator="equal">
      <formula>"P"</formula>
    </cfRule>
  </conditionalFormatting>
  <conditionalFormatting sqref="U41:U47">
    <cfRule type="cellIs" dxfId="346" priority="650" operator="equal">
      <formula>"C"</formula>
    </cfRule>
    <cfRule type="cellIs" dxfId="345" priority="651" operator="equal">
      <formula>"P"</formula>
    </cfRule>
  </conditionalFormatting>
  <conditionalFormatting sqref="V44:Y47">
    <cfRule type="cellIs" dxfId="340" priority="664" operator="equal">
      <formula>"C"</formula>
    </cfRule>
    <cfRule type="cellIs" dxfId="339" priority="665" operator="equal">
      <formula>"P"</formula>
    </cfRule>
  </conditionalFormatting>
  <conditionalFormatting sqref="W26">
    <cfRule type="cellIs" dxfId="338" priority="523" operator="equal">
      <formula>"C"</formula>
    </cfRule>
    <cfRule type="cellIs" dxfId="337" priority="524" operator="equal">
      <formula>"P"</formula>
    </cfRule>
  </conditionalFormatting>
  <conditionalFormatting sqref="W29">
    <cfRule type="cellIs" dxfId="336" priority="521" operator="equal">
      <formula>"C"</formula>
    </cfRule>
    <cfRule type="cellIs" dxfId="335" priority="522" operator="equal">
      <formula>"P"</formula>
    </cfRule>
  </conditionalFormatting>
  <conditionalFormatting sqref="X29:X30">
    <cfRule type="cellIs" dxfId="332" priority="525" operator="equal">
      <formula>"C"</formula>
    </cfRule>
    <cfRule type="cellIs" dxfId="331" priority="526" operator="equal">
      <formula>"P"</formula>
    </cfRule>
  </conditionalFormatting>
  <conditionalFormatting sqref="X32">
    <cfRule type="cellIs" dxfId="330" priority="519" operator="equal">
      <formula>"C"</formula>
    </cfRule>
    <cfRule type="cellIs" dxfId="329" priority="520" operator="equal">
      <formula>"P"</formula>
    </cfRule>
  </conditionalFormatting>
  <conditionalFormatting sqref="Z4:Z47">
    <cfRule type="cellIs" dxfId="326" priority="551" operator="equal">
      <formula>"C"</formula>
    </cfRule>
    <cfRule type="cellIs" dxfId="325" priority="552" operator="equal">
      <formula>"P"</formula>
    </cfRule>
  </conditionalFormatting>
  <conditionalFormatting sqref="AA9:AA24">
    <cfRule type="cellIs" dxfId="322" priority="583" operator="equal">
      <formula>"C"</formula>
    </cfRule>
    <cfRule type="cellIs" dxfId="321" priority="584" operator="equal">
      <formula>"P"</formula>
    </cfRule>
  </conditionalFormatting>
  <conditionalFormatting sqref="AA26:AA27">
    <cfRule type="cellIs" dxfId="320" priority="607" operator="equal">
      <formula>"C"</formula>
    </cfRule>
    <cfRule type="cellIs" dxfId="319" priority="608" operator="equal">
      <formula>"P"</formula>
    </cfRule>
  </conditionalFormatting>
  <conditionalFormatting sqref="AA29">
    <cfRule type="cellIs" dxfId="318" priority="609" operator="equal">
      <formula>"C"</formula>
    </cfRule>
    <cfRule type="cellIs" dxfId="317" priority="610" operator="equal">
      <formula>"P"</formula>
    </cfRule>
  </conditionalFormatting>
  <conditionalFormatting sqref="AA35:AE35">
    <cfRule type="dataBar" priority="645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{63A2D503-AAFC-43A1-9340-98DFFF0CAF6F}</x14:id>
        </ext>
      </extLst>
    </cfRule>
  </conditionalFormatting>
  <conditionalFormatting sqref="AA35:AO35">
    <cfRule type="cellIs" dxfId="312" priority="646" operator="equal">
      <formula>"C"</formula>
    </cfRule>
    <cfRule type="cellIs" dxfId="311" priority="647" operator="equal">
      <formula>"P"</formula>
    </cfRule>
  </conditionalFormatting>
  <conditionalFormatting sqref="AA36:BM36">
    <cfRule type="cellIs" dxfId="310" priority="589" operator="equal">
      <formula>"C"</formula>
    </cfRule>
    <cfRule type="cellIs" dxfId="309" priority="590" operator="equal">
      <formula>"P"</formula>
    </cfRule>
  </conditionalFormatting>
  <conditionalFormatting sqref="AA37:BM37">
    <cfRule type="cellIs" dxfId="308" priority="587" operator="equal">
      <formula>0</formula>
    </cfRule>
  </conditionalFormatting>
  <conditionalFormatting sqref="AA39:BM40">
    <cfRule type="cellIs" dxfId="307" priority="547" operator="equal">
      <formula>"C"</formula>
    </cfRule>
    <cfRule type="cellIs" dxfId="306" priority="548" operator="equal">
      <formula>"P"</formula>
    </cfRule>
  </conditionalFormatting>
  <conditionalFormatting sqref="AA45:BM47">
    <cfRule type="cellIs" dxfId="305" priority="549" operator="equal">
      <formula>"C"</formula>
    </cfRule>
    <cfRule type="cellIs" dxfId="304" priority="550" operator="equal">
      <formula>"P"</formula>
    </cfRule>
  </conditionalFormatting>
  <conditionalFormatting sqref="AB21:AB32">
    <cfRule type="cellIs" dxfId="303" priority="535" operator="equal">
      <formula>"C"</formula>
    </cfRule>
    <cfRule type="cellIs" dxfId="302" priority="536" operator="equal">
      <formula>"P"</formula>
    </cfRule>
  </conditionalFormatting>
  <conditionalFormatting sqref="AB8:AC20">
    <cfRule type="cellIs" dxfId="299" priority="217" operator="equal">
      <formula>"C"</formula>
    </cfRule>
    <cfRule type="cellIs" dxfId="298" priority="218" operator="equal">
      <formula>"P"</formula>
    </cfRule>
  </conditionalFormatting>
  <conditionalFormatting sqref="AC21:AC31">
    <cfRule type="cellIs" dxfId="297" priority="511" operator="equal">
      <formula>"C"</formula>
    </cfRule>
    <cfRule type="cellIs" dxfId="296" priority="512" operator="equal">
      <formula>"P"</formula>
    </cfRule>
  </conditionalFormatting>
  <conditionalFormatting sqref="AC33:AC34">
    <cfRule type="cellIs" dxfId="295" priority="611" operator="equal">
      <formula>"C"</formula>
    </cfRule>
    <cfRule type="cellIs" dxfId="294" priority="612" operator="equal">
      <formula>"P"</formula>
    </cfRule>
  </conditionalFormatting>
  <conditionalFormatting sqref="AD8:AD32">
    <cfRule type="cellIs" dxfId="291" priority="489" operator="equal">
      <formula>"C"</formula>
    </cfRule>
    <cfRule type="cellIs" dxfId="290" priority="490" operator="equal">
      <formula>"P"</formula>
    </cfRule>
  </conditionalFormatting>
  <conditionalFormatting sqref="AE8:AE31">
    <cfRule type="cellIs" dxfId="287" priority="339" operator="equal">
      <formula>"C"</formula>
    </cfRule>
    <cfRule type="cellIs" dxfId="286" priority="340" operator="equal">
      <formula>"P"</formula>
    </cfRule>
  </conditionalFormatting>
  <conditionalFormatting sqref="AF8:AF29">
    <cfRule type="cellIs" dxfId="283" priority="361" operator="equal">
      <formula>"C"</formula>
    </cfRule>
    <cfRule type="cellIs" dxfId="282" priority="362" operator="equal">
      <formula>"P"</formula>
    </cfRule>
  </conditionalFormatting>
  <conditionalFormatting sqref="AF35:AN35">
    <cfRule type="dataBar" priority="644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{5A8C86D9-4BA3-407B-AA5F-B8C66F6A23CE}</x14:id>
        </ext>
      </extLst>
    </cfRule>
  </conditionalFormatting>
  <conditionalFormatting sqref="AG8:AG31">
    <cfRule type="cellIs" dxfId="279" priority="531" operator="equal">
      <formula>"C"</formula>
    </cfRule>
    <cfRule type="cellIs" dxfId="278" priority="532" operator="equal">
      <formula>"P"</formula>
    </cfRule>
  </conditionalFormatting>
  <conditionalFormatting sqref="AH8:AI34">
    <cfRule type="cellIs" dxfId="273" priority="291" operator="equal">
      <formula>"C"</formula>
    </cfRule>
    <cfRule type="cellIs" dxfId="272" priority="292" operator="equal">
      <formula>"P"</formula>
    </cfRule>
  </conditionalFormatting>
  <conditionalFormatting sqref="AJ8:AJ18 AJ20:AJ29">
    <cfRule type="cellIs" dxfId="269" priority="483" operator="equal">
      <formula>"C"</formula>
    </cfRule>
    <cfRule type="cellIs" dxfId="268" priority="484" operator="equal">
      <formula>"P"</formula>
    </cfRule>
  </conditionalFormatting>
  <conditionalFormatting sqref="AK8:AK32">
    <cfRule type="cellIs" dxfId="267" priority="505" operator="equal">
      <formula>"C"</formula>
    </cfRule>
    <cfRule type="cellIs" dxfId="266" priority="506" operator="equal">
      <formula>"P"</formula>
    </cfRule>
  </conditionalFormatting>
  <conditionalFormatting sqref="AL9:AL26">
    <cfRule type="cellIs" dxfId="263" priority="277" operator="equal">
      <formula>"C"</formula>
    </cfRule>
    <cfRule type="cellIs" dxfId="262" priority="278" operator="equal">
      <formula>"P"</formula>
    </cfRule>
  </conditionalFormatting>
  <conditionalFormatting sqref="AM9:AM32">
    <cfRule type="cellIs" dxfId="257" priority="271" operator="equal">
      <formula>"C"</formula>
    </cfRule>
    <cfRule type="cellIs" dxfId="256" priority="272" operator="equal">
      <formula>"P"</formula>
    </cfRule>
  </conditionalFormatting>
  <conditionalFormatting sqref="AM8:AN8">
    <cfRule type="cellIs" dxfId="253" priority="243" operator="equal">
      <formula>"C"</formula>
    </cfRule>
    <cfRule type="cellIs" dxfId="252" priority="244" operator="equal">
      <formula>"P"</formula>
    </cfRule>
  </conditionalFormatting>
  <conditionalFormatting sqref="AN9:AO29">
    <cfRule type="cellIs" dxfId="249" priority="273" operator="equal">
      <formula>"C"</formula>
    </cfRule>
    <cfRule type="cellIs" dxfId="248" priority="274" operator="equal">
      <formula>"P"</formula>
    </cfRule>
  </conditionalFormatting>
  <conditionalFormatting sqref="AO35:AT35">
    <cfRule type="dataBar" priority="643">
      <dataBar>
        <cfvo type="num" val="0"/>
        <cfvo type="num" val="3"/>
        <color rgb="FF00B0F0"/>
      </dataBar>
      <extLst>
        <ext xmlns:x14="http://schemas.microsoft.com/office/spreadsheetml/2009/9/main" uri="{B025F937-C7B1-47D3-B67F-A62EFF666E3E}">
          <x14:id>{3BF4594A-D994-4E84-B00B-819089E3E7FF}</x14:id>
        </ext>
      </extLst>
    </cfRule>
  </conditionalFormatting>
  <conditionalFormatting sqref="AP8:AP31">
    <cfRule type="cellIs" dxfId="243" priority="215" operator="equal">
      <formula>"C"</formula>
    </cfRule>
    <cfRule type="cellIs" dxfId="242" priority="216" operator="equal">
      <formula>"P"</formula>
    </cfRule>
  </conditionalFormatting>
  <conditionalFormatting sqref="AP32:AQ34">
    <cfRule type="cellIs" dxfId="241" priority="619" operator="equal">
      <formula>"C"</formula>
    </cfRule>
    <cfRule type="cellIs" dxfId="240" priority="620" operator="equal">
      <formula>"P"</formula>
    </cfRule>
  </conditionalFormatting>
  <conditionalFormatting sqref="AQ9:AQ31">
    <cfRule type="cellIs" dxfId="239" priority="213" operator="equal">
      <formula>"C"</formula>
    </cfRule>
    <cfRule type="cellIs" dxfId="238" priority="214" operator="equal">
      <formula>"P"</formula>
    </cfRule>
  </conditionalFormatting>
  <conditionalFormatting sqref="AR8:AR34">
    <cfRule type="cellIs" dxfId="237" priority="565" operator="equal">
      <formula>"C"</formula>
    </cfRule>
    <cfRule type="cellIs" dxfId="236" priority="566" operator="equal">
      <formula>"P"</formula>
    </cfRule>
  </conditionalFormatting>
  <conditionalFormatting sqref="AS9">
    <cfRule type="cellIs" dxfId="235" priority="605" operator="equal">
      <formula>"C"</formula>
    </cfRule>
    <cfRule type="cellIs" dxfId="234" priority="606" operator="equal">
      <formula>"P"</formula>
    </cfRule>
  </conditionalFormatting>
  <conditionalFormatting sqref="AS12:AS26">
    <cfRule type="cellIs" dxfId="233" priority="497" operator="equal">
      <formula>"C"</formula>
    </cfRule>
    <cfRule type="cellIs" dxfId="232" priority="498" operator="equal">
      <formula>"P"</formula>
    </cfRule>
  </conditionalFormatting>
  <conditionalFormatting sqref="AS41:AU41 AW41 AS42:AW43">
    <cfRule type="cellIs" dxfId="231" priority="652" operator="equal">
      <formula>"C"</formula>
    </cfRule>
    <cfRule type="cellIs" dxfId="230" priority="653" operator="equal">
      <formula>"P"</formula>
    </cfRule>
  </conditionalFormatting>
  <conditionalFormatting sqref="AT9:AT34">
    <cfRule type="cellIs" dxfId="229" priority="603" operator="equal">
      <formula>"C"</formula>
    </cfRule>
    <cfRule type="cellIs" dxfId="228" priority="604" operator="equal">
      <formula>"P"</formula>
    </cfRule>
  </conditionalFormatting>
  <conditionalFormatting sqref="AU8:AU34">
    <cfRule type="cellIs" dxfId="227" priority="563" operator="equal">
      <formula>"C"</formula>
    </cfRule>
    <cfRule type="cellIs" dxfId="226" priority="564" operator="equal">
      <formula>"P"</formula>
    </cfRule>
  </conditionalFormatting>
  <conditionalFormatting sqref="AU35:AY35 BA35:BB35">
    <cfRule type="dataBar" priority="642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{EA18B8FB-28AB-49D3-8B1F-65A971885317}</x14:id>
        </ext>
      </extLst>
    </cfRule>
  </conditionalFormatting>
  <conditionalFormatting sqref="AV8:AV32">
    <cfRule type="cellIs" dxfId="225" priority="369" operator="equal">
      <formula>"C"</formula>
    </cfRule>
    <cfRule type="cellIs" dxfId="224" priority="370" operator="equal">
      <formula>"P"</formula>
    </cfRule>
  </conditionalFormatting>
  <conditionalFormatting sqref="AW8:AY31">
    <cfRule type="cellIs" dxfId="223" priority="207" operator="equal">
      <formula>"C"</formula>
    </cfRule>
    <cfRule type="cellIs" dxfId="222" priority="208" operator="equal">
      <formula>"P"</formula>
    </cfRule>
  </conditionalFormatting>
  <conditionalFormatting sqref="AX32:AY34">
    <cfRule type="cellIs" dxfId="221" priority="621" operator="equal">
      <formula>"C"</formula>
    </cfRule>
    <cfRule type="cellIs" dxfId="220" priority="622" operator="equal">
      <formula>"P"</formula>
    </cfRule>
  </conditionalFormatting>
  <conditionalFormatting sqref="AZ8:AZ29">
    <cfRule type="cellIs" dxfId="219" priority="559" operator="equal">
      <formula>"C"</formula>
    </cfRule>
    <cfRule type="cellIs" dxfId="218" priority="560" operator="equal">
      <formula>"P"</formula>
    </cfRule>
  </conditionalFormatting>
  <conditionalFormatting sqref="AZ35">
    <cfRule type="dataBar" priority="594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{8F53068D-BC30-4BCA-8333-5A9E9977BE70}</x14:id>
        </ext>
      </extLst>
    </cfRule>
  </conditionalFormatting>
  <conditionalFormatting sqref="BA8:BA32">
    <cfRule type="cellIs" dxfId="217" priority="557" operator="equal">
      <formula>"C"</formula>
    </cfRule>
    <cfRule type="cellIs" dxfId="216" priority="558" operator="equal">
      <formula>"P"</formula>
    </cfRule>
  </conditionalFormatting>
  <conditionalFormatting sqref="BB9:BB34">
    <cfRule type="cellIs" dxfId="215" priority="533" operator="equal">
      <formula>"C"</formula>
    </cfRule>
    <cfRule type="cellIs" dxfId="214" priority="534" operator="equal">
      <formula>"P"</formula>
    </cfRule>
  </conditionalFormatting>
  <conditionalFormatting sqref="BC8:BC29">
    <cfRule type="cellIs" dxfId="213" priority="541" operator="equal">
      <formula>"C"</formula>
    </cfRule>
    <cfRule type="cellIs" dxfId="212" priority="542" operator="equal">
      <formula>"P"</formula>
    </cfRule>
  </conditionalFormatting>
  <conditionalFormatting sqref="BC35">
    <cfRule type="dataBar" priority="641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{F2E3B84F-E906-467B-9081-58E8F5FD77F9}</x14:id>
        </ext>
      </extLst>
    </cfRule>
  </conditionalFormatting>
  <conditionalFormatting sqref="BD9:BD34">
    <cfRule type="cellIs" dxfId="211" priority="495" operator="equal">
      <formula>"C"</formula>
    </cfRule>
    <cfRule type="cellIs" dxfId="210" priority="496" operator="equal">
      <formula>"P"</formula>
    </cfRule>
  </conditionalFormatting>
  <conditionalFormatting sqref="BD35">
    <cfRule type="dataBar" priority="602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{B1069F1B-CD33-4995-AFF0-95075608FA9B}</x14:id>
        </ext>
      </extLst>
    </cfRule>
  </conditionalFormatting>
  <conditionalFormatting sqref="BE8:BE34">
    <cfRule type="cellIs" dxfId="209" priority="555" operator="equal">
      <formula>"C"</formula>
    </cfRule>
    <cfRule type="cellIs" dxfId="208" priority="556" operator="equal">
      <formula>"P"</formula>
    </cfRule>
  </conditionalFormatting>
  <conditionalFormatting sqref="BE35">
    <cfRule type="dataBar" priority="601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{759D4689-9C4C-4597-B0F5-34AA02454B90}</x14:id>
        </ext>
      </extLst>
    </cfRule>
  </conditionalFormatting>
  <conditionalFormatting sqref="BE1:BM1 BG2:BM2">
    <cfRule type="cellIs" dxfId="207" priority="585" operator="equal">
      <formula>"C"</formula>
    </cfRule>
    <cfRule type="cellIs" dxfId="206" priority="586" operator="equal">
      <formula>"P"</formula>
    </cfRule>
  </conditionalFormatting>
  <conditionalFormatting sqref="BF8:BF32">
    <cfRule type="cellIs" dxfId="205" priority="537" operator="equal">
      <formula>"C"</formula>
    </cfRule>
    <cfRule type="cellIs" dxfId="204" priority="538" operator="equal">
      <formula>"P"</formula>
    </cfRule>
  </conditionalFormatting>
  <conditionalFormatting sqref="BF35">
    <cfRule type="dataBar" priority="600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{C259EA98-6DA0-42BE-A62B-4748D468CFCD}</x14:id>
        </ext>
      </extLst>
    </cfRule>
  </conditionalFormatting>
  <conditionalFormatting sqref="BG8:BG34">
    <cfRule type="cellIs" dxfId="203" priority="553" operator="equal">
      <formula>"C"</formula>
    </cfRule>
    <cfRule type="cellIs" dxfId="202" priority="554" operator="equal">
      <formula>"P"</formula>
    </cfRule>
  </conditionalFormatting>
  <conditionalFormatting sqref="BG35">
    <cfRule type="dataBar" priority="599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{5896BCEC-3FAE-467D-962A-B6E02F61A2A1}</x14:id>
        </ext>
      </extLst>
    </cfRule>
  </conditionalFormatting>
  <conditionalFormatting sqref="BG48:XFD48">
    <cfRule type="cellIs" dxfId="201" priority="1850" operator="equal">
      <formula>"C"</formula>
    </cfRule>
    <cfRule type="cellIs" dxfId="200" priority="1851" operator="equal">
      <formula>"P"</formula>
    </cfRule>
  </conditionalFormatting>
  <conditionalFormatting sqref="BH8:BH32">
    <cfRule type="cellIs" dxfId="199" priority="515" operator="equal">
      <formula>"C"</formula>
    </cfRule>
    <cfRule type="cellIs" dxfId="198" priority="516" operator="equal">
      <formula>"P"</formula>
    </cfRule>
  </conditionalFormatting>
  <conditionalFormatting sqref="BH35">
    <cfRule type="dataBar" priority="59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{B117EAB6-F5F9-4553-B9FE-74481B4C0FF3}</x14:id>
        </ext>
      </extLst>
    </cfRule>
  </conditionalFormatting>
  <conditionalFormatting sqref="BI9:BI31">
    <cfRule type="cellIs" dxfId="197" priority="513" operator="equal">
      <formula>"C"</formula>
    </cfRule>
    <cfRule type="cellIs" dxfId="196" priority="514" operator="equal">
      <formula>"P"</formula>
    </cfRule>
  </conditionalFormatting>
  <conditionalFormatting sqref="BI35">
    <cfRule type="dataBar" priority="597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{546D7772-2AE4-4A5A-953F-C2A2284A5EE8}</x14:id>
        </ext>
      </extLst>
    </cfRule>
  </conditionalFormatting>
  <conditionalFormatting sqref="BJ8:BJ29">
    <cfRule type="cellIs" dxfId="195" priority="253" operator="equal">
      <formula>"C"</formula>
    </cfRule>
    <cfRule type="cellIs" dxfId="194" priority="254" operator="equal">
      <formula>"P"</formula>
    </cfRule>
  </conditionalFormatting>
  <conditionalFormatting sqref="BJ35">
    <cfRule type="dataBar" priority="591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{FB287746-4BC5-4C15-9838-94E474FD351C}</x14:id>
        </ext>
      </extLst>
    </cfRule>
    <cfRule type="dataBar" priority="596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{EB91F762-B22D-4BE1-9A0F-DD636ADA6DAD}</x14:id>
        </ext>
      </extLst>
    </cfRule>
  </conditionalFormatting>
  <conditionalFormatting sqref="BK8:BK15 BK17:BK18 BK20:BK32">
    <cfRule type="cellIs" dxfId="193" priority="539" operator="equal">
      <formula>"C"</formula>
    </cfRule>
    <cfRule type="cellIs" dxfId="192" priority="540" operator="equal">
      <formula>"P"</formula>
    </cfRule>
  </conditionalFormatting>
  <conditionalFormatting sqref="BK35">
    <cfRule type="dataBar" priority="58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{7A10A178-7B3E-40B0-B761-E3E885B86A3D}</x14:id>
        </ext>
      </extLst>
    </cfRule>
    <cfRule type="dataBar" priority="595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{E9DD38A7-AF5E-4B63-87E3-5E72920939FF}</x14:id>
        </ext>
      </extLst>
    </cfRule>
  </conditionalFormatting>
  <conditionalFormatting sqref="BK3:BM3">
    <cfRule type="cellIs" dxfId="191" priority="685" operator="equal">
      <formula>"C"</formula>
    </cfRule>
    <cfRule type="cellIs" dxfId="190" priority="686" operator="equal">
      <formula>"P"</formula>
    </cfRule>
  </conditionalFormatting>
  <conditionalFormatting sqref="BL8:BL29">
    <cfRule type="cellIs" dxfId="189" priority="493" operator="equal">
      <formula>"C"</formula>
    </cfRule>
    <cfRule type="cellIs" dxfId="188" priority="494" operator="equal">
      <formula>"P"</formula>
    </cfRule>
  </conditionalFormatting>
  <conditionalFormatting sqref="BL35">
    <cfRule type="dataBar" priority="593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{41365485-9944-4804-90D5-84E4F22F7608}</x14:id>
        </ext>
      </extLst>
    </cfRule>
  </conditionalFormatting>
  <conditionalFormatting sqref="BM8:BM34">
    <cfRule type="cellIs" dxfId="187" priority="329" operator="equal">
      <formula>"C"</formula>
    </cfRule>
    <cfRule type="cellIs" dxfId="186" priority="330" operator="equal">
      <formula>"P"</formula>
    </cfRule>
  </conditionalFormatting>
  <conditionalFormatting sqref="BM35">
    <cfRule type="dataBar" priority="592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{B0B2E81E-7846-4014-87D3-3EBF1091D4C3}</x14:id>
        </ext>
      </extLst>
    </cfRule>
  </conditionalFormatting>
  <conditionalFormatting sqref="BN1:XFD3 BN41:XFD43 DA4:XFD40 BN45:XFD47 DA44:XFD44">
    <cfRule type="cellIs" dxfId="185" priority="1729" operator="equal">
      <formula>"C"</formula>
    </cfRule>
    <cfRule type="cellIs" dxfId="184" priority="1730" operator="equal">
      <formula>"P"</formula>
    </cfRule>
  </conditionalFormatting>
  <conditionalFormatting sqref="CU4:CU40 CV35:CZ36 BN39:CT39">
    <cfRule type="cellIs" dxfId="92" priority="84" operator="equal">
      <formula>"C"</formula>
    </cfRule>
    <cfRule type="cellIs" dxfId="91" priority="85" operator="equal">
      <formula>"P"</formula>
    </cfRule>
  </conditionalFormatting>
  <conditionalFormatting sqref="BN9:BN28">
    <cfRule type="cellIs" dxfId="90" priority="80" operator="equal">
      <formula>"C"</formula>
    </cfRule>
    <cfRule type="cellIs" dxfId="89" priority="81" operator="equal">
      <formula>"P"</formula>
    </cfRule>
  </conditionalFormatting>
  <conditionalFormatting sqref="BN30:BN32">
    <cfRule type="cellIs" dxfId="88" priority="82" operator="equal">
      <formula>"C"</formula>
    </cfRule>
    <cfRule type="cellIs" dxfId="87" priority="83" operator="equal">
      <formula>"P"</formula>
    </cfRule>
  </conditionalFormatting>
  <conditionalFormatting sqref="BN34">
    <cfRule type="cellIs" dxfId="86" priority="99" operator="equal">
      <formula>"C"</formula>
    </cfRule>
    <cfRule type="cellIs" dxfId="85" priority="100" operator="equal">
      <formula>"P"</formula>
    </cfRule>
  </conditionalFormatting>
  <conditionalFormatting sqref="BN35:BR35 CV35:CY35">
    <cfRule type="dataBar" priority="96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{4E571E3B-68A4-4737-832B-FEF0548FE1E6}</x14:id>
        </ext>
      </extLst>
    </cfRule>
  </conditionalFormatting>
  <conditionalFormatting sqref="BN35:CB35">
    <cfRule type="cellIs" dxfId="84" priority="97" operator="equal">
      <formula>"C"</formula>
    </cfRule>
    <cfRule type="cellIs" dxfId="83" priority="98" operator="equal">
      <formula>"P"</formula>
    </cfRule>
  </conditionalFormatting>
  <conditionalFormatting sqref="BN36:CT36">
    <cfRule type="cellIs" dxfId="82" priority="103" operator="equal">
      <formula>"C"</formula>
    </cfRule>
    <cfRule type="cellIs" dxfId="81" priority="104" operator="equal">
      <formula>"P"</formula>
    </cfRule>
  </conditionalFormatting>
  <conditionalFormatting sqref="BN37:CT37 CV37:CZ37">
    <cfRule type="cellIs" dxfId="80" priority="86" operator="equal">
      <formula>0</formula>
    </cfRule>
  </conditionalFormatting>
  <conditionalFormatting sqref="BO8:BO34">
    <cfRule type="cellIs" dxfId="79" priority="78" operator="equal">
      <formula>"C"</formula>
    </cfRule>
    <cfRule type="cellIs" dxfId="78" priority="79" operator="equal">
      <formula>"P"</formula>
    </cfRule>
  </conditionalFormatting>
  <conditionalFormatting sqref="BP8:BP32">
    <cfRule type="cellIs" dxfId="77" priority="51" operator="equal">
      <formula>"C"</formula>
    </cfRule>
    <cfRule type="cellIs" dxfId="76" priority="52" operator="equal">
      <formula>"P"</formula>
    </cfRule>
  </conditionalFormatting>
  <conditionalFormatting sqref="BP34">
    <cfRule type="cellIs" dxfId="75" priority="101" operator="equal">
      <formula>"C"</formula>
    </cfRule>
    <cfRule type="cellIs" dxfId="74" priority="102" operator="equal">
      <formula>"P"</formula>
    </cfRule>
  </conditionalFormatting>
  <conditionalFormatting sqref="BQ8:BQ29">
    <cfRule type="cellIs" dxfId="73" priority="13" operator="equal">
      <formula>"C"</formula>
    </cfRule>
    <cfRule type="cellIs" dxfId="72" priority="14" operator="equal">
      <formula>"P"</formula>
    </cfRule>
  </conditionalFormatting>
  <conditionalFormatting sqref="BR8:BR32">
    <cfRule type="cellIs" dxfId="71" priority="27" operator="equal">
      <formula>"C"</formula>
    </cfRule>
    <cfRule type="cellIs" dxfId="70" priority="28" operator="equal">
      <formula>"P"</formula>
    </cfRule>
  </conditionalFormatting>
  <conditionalFormatting sqref="BS9:BS34">
    <cfRule type="cellIs" dxfId="69" priority="76" operator="equal">
      <formula>"C"</formula>
    </cfRule>
    <cfRule type="cellIs" dxfId="68" priority="77" operator="equal">
      <formula>"P"</formula>
    </cfRule>
  </conditionalFormatting>
  <conditionalFormatting sqref="BS35:CA35">
    <cfRule type="dataBar" priority="95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{DEA8C912-AB3D-4AB1-BC54-252B8E25A717}</x14:id>
        </ext>
      </extLst>
    </cfRule>
  </conditionalFormatting>
  <conditionalFormatting sqref="BT8:BT34">
    <cfRule type="cellIs" dxfId="67" priority="63" operator="equal">
      <formula>"C"</formula>
    </cfRule>
    <cfRule type="cellIs" dxfId="66" priority="64" operator="equal">
      <formula>"P"</formula>
    </cfRule>
  </conditionalFormatting>
  <conditionalFormatting sqref="BU8:BU32">
    <cfRule type="cellIs" dxfId="65" priority="74" operator="equal">
      <formula>"C"</formula>
    </cfRule>
    <cfRule type="cellIs" dxfId="64" priority="75" operator="equal">
      <formula>"P"</formula>
    </cfRule>
  </conditionalFormatting>
  <conditionalFormatting sqref="BV8:BV31">
    <cfRule type="cellIs" dxfId="63" priority="70" operator="equal">
      <formula>"C"</formula>
    </cfRule>
    <cfRule type="cellIs" dxfId="62" priority="71" operator="equal">
      <formula>"P"</formula>
    </cfRule>
  </conditionalFormatting>
  <conditionalFormatting sqref="BW8:BW29">
    <cfRule type="cellIs" dxfId="61" priority="72" operator="equal">
      <formula>"C"</formula>
    </cfRule>
    <cfRule type="cellIs" dxfId="60" priority="73" operator="equal">
      <formula>"P"</formula>
    </cfRule>
  </conditionalFormatting>
  <conditionalFormatting sqref="BX9:BX34">
    <cfRule type="cellIs" dxfId="59" priority="11" operator="equal">
      <formula>"C"</formula>
    </cfRule>
    <cfRule type="cellIs" dxfId="58" priority="12" operator="equal">
      <formula>"P"</formula>
    </cfRule>
  </conditionalFormatting>
  <conditionalFormatting sqref="BY8:BY32">
    <cfRule type="cellIs" dxfId="57" priority="31" operator="equal">
      <formula>"C"</formula>
    </cfRule>
    <cfRule type="cellIs" dxfId="56" priority="32" operator="equal">
      <formula>"P"</formula>
    </cfRule>
  </conditionalFormatting>
  <conditionalFormatting sqref="BZ8:BZ29">
    <cfRule type="cellIs" dxfId="55" priority="19" operator="equal">
      <formula>"C"</formula>
    </cfRule>
    <cfRule type="cellIs" dxfId="54" priority="20" operator="equal">
      <formula>"P"</formula>
    </cfRule>
  </conditionalFormatting>
  <conditionalFormatting sqref="CA8:CB34">
    <cfRule type="cellIs" dxfId="53" priority="7" operator="equal">
      <formula>"C"</formula>
    </cfRule>
    <cfRule type="cellIs" dxfId="52" priority="8" operator="equal">
      <formula>"P"</formula>
    </cfRule>
  </conditionalFormatting>
  <conditionalFormatting sqref="CB35:CG35">
    <cfRule type="dataBar" priority="94">
      <dataBar>
        <cfvo type="num" val="0"/>
        <cfvo type="num" val="3"/>
        <color rgb="FF00B0F0"/>
      </dataBar>
      <extLst>
        <ext xmlns:x14="http://schemas.microsoft.com/office/spreadsheetml/2009/9/main" uri="{B025F937-C7B1-47D3-B67F-A62EFF666E3E}">
          <x14:id>{C5ED3B25-8BAA-49D4-9648-8EFA46DEF8F6}</x14:id>
        </ext>
      </extLst>
    </cfRule>
  </conditionalFormatting>
  <conditionalFormatting sqref="CC8:CC32">
    <cfRule type="cellIs" dxfId="51" priority="37" operator="equal">
      <formula>"C"</formula>
    </cfRule>
    <cfRule type="cellIs" dxfId="50" priority="38" operator="equal">
      <formula>"P"</formula>
    </cfRule>
  </conditionalFormatting>
  <conditionalFormatting sqref="CD8:CD34">
    <cfRule type="cellIs" dxfId="49" priority="5" operator="equal">
      <formula>"C"</formula>
    </cfRule>
    <cfRule type="cellIs" dxfId="48" priority="6" operator="equal">
      <formula>"P"</formula>
    </cfRule>
  </conditionalFormatting>
  <conditionalFormatting sqref="CE9:CE32">
    <cfRule type="cellIs" dxfId="47" priority="47" operator="equal">
      <formula>"C"</formula>
    </cfRule>
    <cfRule type="cellIs" dxfId="46" priority="48" operator="equal">
      <formula>"P"</formula>
    </cfRule>
  </conditionalFormatting>
  <conditionalFormatting sqref="CF8:CF31">
    <cfRule type="cellIs" dxfId="45" priority="55" operator="equal">
      <formula>"C"</formula>
    </cfRule>
    <cfRule type="cellIs" dxfId="44" priority="56" operator="equal">
      <formula>"P"</formula>
    </cfRule>
  </conditionalFormatting>
  <conditionalFormatting sqref="CG8:CG29">
    <cfRule type="cellIs" dxfId="43" priority="17" operator="equal">
      <formula>"C"</formula>
    </cfRule>
    <cfRule type="cellIs" dxfId="42" priority="18" operator="equal">
      <formula>"P"</formula>
    </cfRule>
  </conditionalFormatting>
  <conditionalFormatting sqref="CH8:CI34">
    <cfRule type="cellIs" dxfId="41" priority="57" operator="equal">
      <formula>"C"</formula>
    </cfRule>
    <cfRule type="cellIs" dxfId="40" priority="58" operator="equal">
      <formula>"P"</formula>
    </cfRule>
  </conditionalFormatting>
  <conditionalFormatting sqref="CH35:CL35 CN35:CO35">
    <cfRule type="dataBar" priority="93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{2129A8BE-6583-4338-AA62-5284C10417A9}</x14:id>
        </ext>
      </extLst>
    </cfRule>
  </conditionalFormatting>
  <conditionalFormatting sqref="CJ8:CJ32">
    <cfRule type="cellIs" dxfId="39" priority="3" operator="equal">
      <formula>"C"</formula>
    </cfRule>
    <cfRule type="cellIs" dxfId="38" priority="4" operator="equal">
      <formula>"P"</formula>
    </cfRule>
  </conditionalFormatting>
  <conditionalFormatting sqref="CK8:CK31">
    <cfRule type="cellIs" dxfId="37" priority="9" operator="equal">
      <formula>"C"</formula>
    </cfRule>
    <cfRule type="cellIs" dxfId="36" priority="10" operator="equal">
      <formula>"P"</formula>
    </cfRule>
  </conditionalFormatting>
  <conditionalFormatting sqref="CL10:CL18">
    <cfRule type="cellIs" dxfId="35" priority="59" operator="equal">
      <formula>"C"</formula>
    </cfRule>
    <cfRule type="cellIs" dxfId="34" priority="60" operator="equal">
      <formula>"P"</formula>
    </cfRule>
  </conditionalFormatting>
  <conditionalFormatting sqref="CL19:CM31">
    <cfRule type="cellIs" dxfId="33" priority="45" operator="equal">
      <formula>"C"</formula>
    </cfRule>
    <cfRule type="cellIs" dxfId="32" priority="46" operator="equal">
      <formula>"P"</formula>
    </cfRule>
  </conditionalFormatting>
  <conditionalFormatting sqref="CM8:CM18">
    <cfRule type="cellIs" dxfId="31" priority="35" operator="equal">
      <formula>"C"</formula>
    </cfRule>
    <cfRule type="cellIs" dxfId="30" priority="36" operator="equal">
      <formula>"P"</formula>
    </cfRule>
  </conditionalFormatting>
  <conditionalFormatting sqref="CM35">
    <cfRule type="dataBar" priority="87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{EC2C699C-1E25-4EB7-906C-08AE96411221}</x14:id>
        </ext>
      </extLst>
    </cfRule>
  </conditionalFormatting>
  <conditionalFormatting sqref="CN8:CN34">
    <cfRule type="cellIs" dxfId="29" priority="23" operator="equal">
      <formula>"C"</formula>
    </cfRule>
    <cfRule type="cellIs" dxfId="28" priority="24" operator="equal">
      <formula>"P"</formula>
    </cfRule>
  </conditionalFormatting>
  <conditionalFormatting sqref="CO8:CO32">
    <cfRule type="cellIs" dxfId="27" priority="15" operator="equal">
      <formula>"C"</formula>
    </cfRule>
    <cfRule type="cellIs" dxfId="26" priority="16" operator="equal">
      <formula>"P"</formula>
    </cfRule>
  </conditionalFormatting>
  <conditionalFormatting sqref="CP8:CP31">
    <cfRule type="cellIs" dxfId="25" priority="25" operator="equal">
      <formula>"C"</formula>
    </cfRule>
    <cfRule type="cellIs" dxfId="24" priority="26" operator="equal">
      <formula>"P"</formula>
    </cfRule>
  </conditionalFormatting>
  <conditionalFormatting sqref="CP35">
    <cfRule type="dataBar" priority="92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{162DFEC8-D636-40FE-AD13-2CA794BA338D}</x14:id>
        </ext>
      </extLst>
    </cfRule>
  </conditionalFormatting>
  <conditionalFormatting sqref="CQ8:CQ29">
    <cfRule type="cellIs" dxfId="23" priority="33" operator="equal">
      <formula>"C"</formula>
    </cfRule>
    <cfRule type="cellIs" dxfId="22" priority="34" operator="equal">
      <formula>"P"</formula>
    </cfRule>
  </conditionalFormatting>
  <conditionalFormatting sqref="CQ35">
    <cfRule type="dataBar" priority="91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{E5794909-43C9-4DA2-B302-1A11E21986E7}</x14:id>
        </ext>
      </extLst>
    </cfRule>
  </conditionalFormatting>
  <conditionalFormatting sqref="CR12:CR27">
    <cfRule type="cellIs" dxfId="21" priority="49" operator="equal">
      <formula>"C"</formula>
    </cfRule>
    <cfRule type="cellIs" dxfId="20" priority="50" operator="equal">
      <formula>"P"</formula>
    </cfRule>
  </conditionalFormatting>
  <conditionalFormatting sqref="CR35">
    <cfRule type="dataBar" priority="90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{581E8EEA-E5A1-43A8-B19A-9A7DA59F2D7F}</x14:id>
        </ext>
      </extLst>
    </cfRule>
  </conditionalFormatting>
  <conditionalFormatting sqref="CS9:CS34">
    <cfRule type="cellIs" dxfId="19" priority="43" operator="equal">
      <formula>"C"</formula>
    </cfRule>
    <cfRule type="cellIs" dxfId="18" priority="44" operator="equal">
      <formula>"P"</formula>
    </cfRule>
  </conditionalFormatting>
  <conditionalFormatting sqref="CS35">
    <cfRule type="dataBar" priority="89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{B9809FF3-2585-4B38-AD2F-390004C47520}</x14:id>
        </ext>
      </extLst>
    </cfRule>
  </conditionalFormatting>
  <conditionalFormatting sqref="CT8:CT29">
    <cfRule type="cellIs" dxfId="17" priority="41" operator="equal">
      <formula>"C"</formula>
    </cfRule>
    <cfRule type="cellIs" dxfId="16" priority="42" operator="equal">
      <formula>"P"</formula>
    </cfRule>
  </conditionalFormatting>
  <conditionalFormatting sqref="CT35">
    <cfRule type="dataBar" priority="88">
      <dataBar>
        <cfvo type="num" val="0"/>
        <cfvo type="num" val="5"/>
        <color rgb="FF00B0F0"/>
      </dataBar>
      <extLst>
        <ext xmlns:x14="http://schemas.microsoft.com/office/spreadsheetml/2009/9/main" uri="{B025F937-C7B1-47D3-B67F-A62EFF666E3E}">
          <x14:id>{4AD32E5B-6EE3-4690-9982-A8528642CA80}</x14:id>
        </ext>
      </extLst>
    </cfRule>
  </conditionalFormatting>
  <conditionalFormatting sqref="CV8:CV33">
    <cfRule type="cellIs" dxfId="15" priority="21" operator="equal">
      <formula>"C"</formula>
    </cfRule>
    <cfRule type="cellIs" dxfId="14" priority="22" operator="equal">
      <formula>"P"</formula>
    </cfRule>
  </conditionalFormatting>
  <conditionalFormatting sqref="CW8:CW31">
    <cfRule type="cellIs" dxfId="13" priority="53" operator="equal">
      <formula>"C"</formula>
    </cfRule>
    <cfRule type="cellIs" dxfId="12" priority="54" operator="equal">
      <formula>"P"</formula>
    </cfRule>
  </conditionalFormatting>
  <conditionalFormatting sqref="CW33:CW34">
    <cfRule type="cellIs" dxfId="11" priority="65" operator="equal">
      <formula>"C"</formula>
    </cfRule>
    <cfRule type="cellIs" dxfId="10" priority="66" operator="equal">
      <formula>"P"</formula>
    </cfRule>
  </conditionalFormatting>
  <conditionalFormatting sqref="CX8:CX33">
    <cfRule type="cellIs" dxfId="9" priority="67" operator="equal">
      <formula>"C"</formula>
    </cfRule>
    <cfRule type="cellIs" dxfId="8" priority="68" operator="equal">
      <formula>"P"</formula>
    </cfRule>
  </conditionalFormatting>
  <conditionalFormatting sqref="CY8:CY32">
    <cfRule type="cellIs" dxfId="7" priority="39" operator="equal">
      <formula>"C"</formula>
    </cfRule>
    <cfRule type="cellIs" dxfId="6" priority="40" operator="equal">
      <formula>"P"</formula>
    </cfRule>
  </conditionalFormatting>
  <conditionalFormatting sqref="CY33:CZ33">
    <cfRule type="cellIs" dxfId="5" priority="61" operator="equal">
      <formula>"C"</formula>
    </cfRule>
    <cfRule type="cellIs" dxfId="4" priority="62" operator="equal">
      <formula>"P"</formula>
    </cfRule>
  </conditionalFormatting>
  <conditionalFormatting sqref="CZ8:CZ30">
    <cfRule type="cellIs" dxfId="3" priority="29" operator="equal">
      <formula>"C"</formula>
    </cfRule>
    <cfRule type="cellIs" dxfId="2" priority="30" operator="equal">
      <formula>"P"</formula>
    </cfRule>
  </conditionalFormatting>
  <conditionalFormatting sqref="CZ35">
    <cfRule type="dataBar" priority="69">
      <dataBar>
        <cfvo type="num" val="0"/>
        <cfvo type="num" val="4"/>
        <color rgb="FF00B0F0"/>
      </dataBar>
      <extLst>
        <ext xmlns:x14="http://schemas.microsoft.com/office/spreadsheetml/2009/9/main" uri="{B025F937-C7B1-47D3-B67F-A62EFF666E3E}">
          <x14:id>{9733C36B-C7B4-42F5-974E-351F529B4403}</x14:id>
        </ext>
      </extLst>
    </cfRule>
  </conditionalFormatting>
  <conditionalFormatting sqref="CU44">
    <cfRule type="cellIs" dxfId="1" priority="1" operator="equal">
      <formula>"C"</formula>
    </cfRule>
    <cfRule type="cellIs" dxfId="0" priority="2" operator="equal">
      <formula>"P"</formula>
    </cfRule>
  </conditionalFormatting>
  <pageMargins left="0.25" right="0.25" top="0.75" bottom="0.75" header="0.3" footer="0.3"/>
  <pageSetup paperSize="8" scale="2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6C917C-257C-4B24-BD7A-5DDFFEA38F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1A9C6E-D953-4205-A4A4-56E0A701F6E4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C35:Y35</xm:sqref>
        </x14:conditionalFormatting>
        <x14:conditionalFormatting xmlns:xm="http://schemas.microsoft.com/office/excel/2006/main">
          <x14:cfRule type="dataBar" id="{63A2D503-AAFC-43A1-9340-98DFFF0CAF6F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AA35:AE35</xm:sqref>
        </x14:conditionalFormatting>
        <x14:conditionalFormatting xmlns:xm="http://schemas.microsoft.com/office/excel/2006/main">
          <x14:cfRule type="dataBar" id="{5A8C86D9-4BA3-407B-AA5F-B8C66F6A23CE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AF35:AN35</xm:sqref>
        </x14:conditionalFormatting>
        <x14:conditionalFormatting xmlns:xm="http://schemas.microsoft.com/office/excel/2006/main">
          <x14:cfRule type="dataBar" id="{3BF4594A-D994-4E84-B00B-819089E3E7FF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AO35:AT35</xm:sqref>
        </x14:conditionalFormatting>
        <x14:conditionalFormatting xmlns:xm="http://schemas.microsoft.com/office/excel/2006/main">
          <x14:cfRule type="dataBar" id="{EA18B8FB-28AB-49D3-8B1F-65A971885317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AU35:AY35 BA35:BB35</xm:sqref>
        </x14:conditionalFormatting>
        <x14:conditionalFormatting xmlns:xm="http://schemas.microsoft.com/office/excel/2006/main">
          <x14:cfRule type="dataBar" id="{8F53068D-BC30-4BCA-8333-5A9E9977BE7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AZ35</xm:sqref>
        </x14:conditionalFormatting>
        <x14:conditionalFormatting xmlns:xm="http://schemas.microsoft.com/office/excel/2006/main">
          <x14:cfRule type="dataBar" id="{F2E3B84F-E906-467B-9081-58E8F5FD77F9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BC35</xm:sqref>
        </x14:conditionalFormatting>
        <x14:conditionalFormatting xmlns:xm="http://schemas.microsoft.com/office/excel/2006/main">
          <x14:cfRule type="dataBar" id="{B1069F1B-CD33-4995-AFF0-95075608FA9B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BD35</xm:sqref>
        </x14:conditionalFormatting>
        <x14:conditionalFormatting xmlns:xm="http://schemas.microsoft.com/office/excel/2006/main">
          <x14:cfRule type="dataBar" id="{759D4689-9C4C-4597-B0F5-34AA02454B9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BE35</xm:sqref>
        </x14:conditionalFormatting>
        <x14:conditionalFormatting xmlns:xm="http://schemas.microsoft.com/office/excel/2006/main">
          <x14:cfRule type="dataBar" id="{C259EA98-6DA0-42BE-A62B-4748D468CFCD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BF35</xm:sqref>
        </x14:conditionalFormatting>
        <x14:conditionalFormatting xmlns:xm="http://schemas.microsoft.com/office/excel/2006/main">
          <x14:cfRule type="dataBar" id="{5896BCEC-3FAE-467D-962A-B6E02F61A2A1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BG35</xm:sqref>
        </x14:conditionalFormatting>
        <x14:conditionalFormatting xmlns:xm="http://schemas.microsoft.com/office/excel/2006/main">
          <x14:cfRule type="dataBar" id="{B117EAB6-F5F9-4553-B9FE-74481B4C0FF3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BH35</xm:sqref>
        </x14:conditionalFormatting>
        <x14:conditionalFormatting xmlns:xm="http://schemas.microsoft.com/office/excel/2006/main">
          <x14:cfRule type="dataBar" id="{546D7772-2AE4-4A5A-953F-C2A2284A5EE8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BI35</xm:sqref>
        </x14:conditionalFormatting>
        <x14:conditionalFormatting xmlns:xm="http://schemas.microsoft.com/office/excel/2006/main">
          <x14:cfRule type="dataBar" id="{FB287746-4BC5-4C15-9838-94E474FD351C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14:cfRule type="dataBar" id="{EB91F762-B22D-4BE1-9A0F-DD636ADA6DAD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BJ35</xm:sqref>
        </x14:conditionalFormatting>
        <x14:conditionalFormatting xmlns:xm="http://schemas.microsoft.com/office/excel/2006/main">
          <x14:cfRule type="dataBar" id="{7A10A178-7B3E-40B0-B761-E3E885B86A3D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14:cfRule type="dataBar" id="{E9DD38A7-AF5E-4B63-87E3-5E72920939FF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BK35</xm:sqref>
        </x14:conditionalFormatting>
        <x14:conditionalFormatting xmlns:xm="http://schemas.microsoft.com/office/excel/2006/main">
          <x14:cfRule type="dataBar" id="{41365485-9944-4804-90D5-84E4F22F7608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BL35</xm:sqref>
        </x14:conditionalFormatting>
        <x14:conditionalFormatting xmlns:xm="http://schemas.microsoft.com/office/excel/2006/main">
          <x14:cfRule type="dataBar" id="{B0B2E81E-7846-4014-87D3-3EBF1091D4C3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BM35</xm:sqref>
        </x14:conditionalFormatting>
        <x14:conditionalFormatting xmlns:xm="http://schemas.microsoft.com/office/excel/2006/main">
          <x14:cfRule type="dataBar" id="{4E571E3B-68A4-4737-832B-FEF0548FE1E6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BN35:BR35 CV35:CY35</xm:sqref>
        </x14:conditionalFormatting>
        <x14:conditionalFormatting xmlns:xm="http://schemas.microsoft.com/office/excel/2006/main">
          <x14:cfRule type="dataBar" id="{DEA8C912-AB3D-4AB1-BC54-252B8E25A717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BS35:CA35</xm:sqref>
        </x14:conditionalFormatting>
        <x14:conditionalFormatting xmlns:xm="http://schemas.microsoft.com/office/excel/2006/main">
          <x14:cfRule type="dataBar" id="{C5ED3B25-8BAA-49D4-9648-8EFA46DEF8F6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CB35:CG35</xm:sqref>
        </x14:conditionalFormatting>
        <x14:conditionalFormatting xmlns:xm="http://schemas.microsoft.com/office/excel/2006/main">
          <x14:cfRule type="dataBar" id="{2129A8BE-6583-4338-AA62-5284C10417A9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CH35:CL35 CN35:CO35</xm:sqref>
        </x14:conditionalFormatting>
        <x14:conditionalFormatting xmlns:xm="http://schemas.microsoft.com/office/excel/2006/main">
          <x14:cfRule type="dataBar" id="{EC2C699C-1E25-4EB7-906C-08AE96411221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CM35</xm:sqref>
        </x14:conditionalFormatting>
        <x14:conditionalFormatting xmlns:xm="http://schemas.microsoft.com/office/excel/2006/main">
          <x14:cfRule type="dataBar" id="{162DFEC8-D636-40FE-AD13-2CA794BA338D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CP35</xm:sqref>
        </x14:conditionalFormatting>
        <x14:conditionalFormatting xmlns:xm="http://schemas.microsoft.com/office/excel/2006/main">
          <x14:cfRule type="dataBar" id="{E5794909-43C9-4DA2-B302-1A11E21986E7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CQ35</xm:sqref>
        </x14:conditionalFormatting>
        <x14:conditionalFormatting xmlns:xm="http://schemas.microsoft.com/office/excel/2006/main">
          <x14:cfRule type="dataBar" id="{581E8EEA-E5A1-43A8-B19A-9A7DA59F2D7F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CR35</xm:sqref>
        </x14:conditionalFormatting>
        <x14:conditionalFormatting xmlns:xm="http://schemas.microsoft.com/office/excel/2006/main">
          <x14:cfRule type="dataBar" id="{B9809FF3-2585-4B38-AD2F-390004C4752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CS35</xm:sqref>
        </x14:conditionalFormatting>
        <x14:conditionalFormatting xmlns:xm="http://schemas.microsoft.com/office/excel/2006/main">
          <x14:cfRule type="dataBar" id="{4AD32E5B-6EE3-4690-9982-A8528642CA8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CT35</xm:sqref>
        </x14:conditionalFormatting>
        <x14:conditionalFormatting xmlns:xm="http://schemas.microsoft.com/office/excel/2006/main">
          <x14:cfRule type="dataBar" id="{9733C36B-C7B4-42F5-974E-351F529B4403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CZ35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DS 설치현황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상문 정</cp:lastModifiedBy>
  <cp:lastPrinted>2026-06-25T11:03:49Z</cp:lastPrinted>
  <dcterms:created xsi:type="dcterms:W3CDTF">2023-02-28T04:36:03Z</dcterms:created>
  <dcterms:modified xsi:type="dcterms:W3CDTF">2026-06-25T21:47:37Z</dcterms:modified>
</cp:coreProperties>
</file>